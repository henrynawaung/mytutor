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1 Accuracy audit" sheetId="2" state="visible" r:id="rId4"/>
    <sheet name="2 Fresh-file timing" sheetId="3" state="visible" r:id="rId5"/>
    <sheet name="3 Quiz qual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<sst xmlns="http://schemas.openxmlformats.org/spreadsheetml/2006/main" count="412" uniqueCount="198">
  <si>
    <t xml:space="preserve">myTutor stretch evidence workbook</t>
  </si>
  <si>
    <t xml:space="preserve">For the final 9-slide deck, due 3 Nov 2026 5:00 pm. Work the tabs in order; stop when the stop condition is met.</t>
  </si>
  <si>
    <t xml:space="preserve">How to use</t>
  </si>
  <si>
    <t xml:space="preserve">Yellow cells</t>
  </si>
  <si>
    <t xml:space="preserve">Fill these in. Grey rows are examples: overwrite or delete them. Everything else is a formula.</t>
  </si>
  <si>
    <t xml:space="preserve">Rule</t>
  </si>
  <si>
    <t xml:space="preserve">Write down the sample and the method BEFORE looking at any results (the "Pre-register" boxes).</t>
  </si>
  <si>
    <t xml:space="preserve">Tab</t>
  </si>
  <si>
    <t xml:space="preserve">What it proves · stop condition · slide it feeds</t>
  </si>
  <si>
    <t xml:space="preserve">1 Accuracy audit</t>
  </si>
  <si>
    <t xml:space="preserve">Notes say what the sources say. Stop after the pre-registered sample is fully checked with page refs. Feeds slide 8 (and 7 accuracy line).</t>
  </si>
  <si>
    <t xml:space="preserve">2 Timing replication</t>
  </si>
  <si>
    <t xml:space="preserve">The 73% saving holds on fresh files with order controlled. Stop after 4 clean files; never rush an unequal comparison. Feeds slides 3, 7, 8.</t>
  </si>
  <si>
    <t xml:space="preserve">3 Quiz quality</t>
  </si>
  <si>
    <t xml:space="preserve">The prompt fix improved distractors, not just letter balance. Score the OLD Day 9 set and a NEW set with the same rubric. Feeds slides 6, 9.</t>
  </si>
  <si>
    <t xml:space="preserve">Honest reporting</t>
  </si>
  <si>
    <t xml:space="preserve">Report numerator/denominator. Label AI-assisted checks. One learner, small samples: say "directional", not "proves".</t>
  </si>
  <si>
    <t xml:space="preserve">If time is short</t>
  </si>
  <si>
    <t xml:space="preserve">Do tab 1 only. If two, add tab 2. Tab 3 is a bonus.</t>
  </si>
  <si>
    <t xml:space="preserve">1 · Source-accuracy audit</t>
  </si>
  <si>
    <t xml:space="preserve">Check 3–4 factual claims per sampled note against the original file; record the exact page/slide.</t>
  </si>
  <si>
    <t xml:space="preserve">Pre-register (fill before checking)</t>
  </si>
  <si>
    <t xml:space="preserve">Results</t>
  </si>
  <si>
    <t xml:space="preserve">Date sample drawn</t>
  </si>
  <si>
    <t xml:space="preserve">2026-10-27 (drawn automatically by the n8n run)</t>
  </si>
  <si>
    <t xml:space="preserve">Claims checked</t>
  </si>
  <si>
    <t xml:space="preserve">Day audited (fresh, not Day 9)</t>
  </si>
  <si>
    <t xml:space="preserve">Day 10</t>
  </si>
  <si>
    <t xml:space="preserve">Supported</t>
  </si>
  <si>
    <t xml:space="preserve">Sample command</t>
  </si>
  <si>
    <t xml:space="preserve">n8n automatic run: py run.py --file --sample 10</t>
  </si>
  <si>
    <t xml:space="preserve">Unsupported</t>
  </si>
  <si>
    <t xml:space="preserve">Seed (pick before running)</t>
  </si>
  <si>
    <t xml:space="preserve">Automatic random draw by n8n, before any checking</t>
  </si>
  <si>
    <t xml:space="preserve">Interpretation</t>
  </si>
  <si>
    <t xml:space="preserve">Claims per note</t>
  </si>
  <si>
    <t xml:space="preserve">2–5 per note (30 claims in total)</t>
  </si>
  <si>
    <t xml:space="preserve">Unclear</t>
  </si>
  <si>
    <t xml:space="preserve">Reviewer</t>
  </si>
  <si>
    <t xml:space="preserve">Naw Aung (manual self-audit: author checking his own tool, no AI help)</t>
  </si>
  <si>
    <t xml:space="preserve">Supported %</t>
  </si>
  <si>
    <t xml:space="preserve">Second reviewer (optional, a subset)</t>
  </si>
  <si>
    <t xml:space="preserve">Shawn (5 claims) and Faiiz (5 claims): classmates, blind, random draw of 10 of the 30 claims; all rated Supported</t>
  </si>
  <si>
    <t xml:space="preserve">Notes in sample</t>
  </si>
  <si>
    <t xml:space="preserve">Sample: 10 notes drawn at random by n8n on 27 Oct, before any checking. 8 audited (3 case, 5 core). Excluded: 2 quiz notes (Practice - MBAM601 Day 10; Quiz - Philosophy Eats AI). Reason (decided before either quiz note was opened): quiz notes hold questions rather than summary claims, and quiz quality is tested separately (tab 3). Effect: the result covers case and concept notes only. No reference notes were drawn.</t>
  </si>
  <si>
    <t xml:space="preserve">Substantive errors</t>
  </si>
  <si>
    <t xml:space="preserve">Slide line</t>
  </si>
  <si>
    <t xml:space="preserve">Note (as in quality_audit.csv)</t>
  </si>
  <si>
    <t xml:space="preserve">Note type</t>
  </si>
  <si>
    <t xml:space="preserve">Source file</t>
  </si>
  <si>
    <t xml:space="preserve">Claim (verbatim or short paraphrase)</t>
  </si>
  <si>
    <t xml:space="preserve">Source location (page / slide / line)</t>
  </si>
  <si>
    <t xml:space="preserve">Rating</t>
  </si>
  <si>
    <t xml:space="preserve">Severity</t>
  </si>
  <si>
    <t xml:space="preserve">Fix / prompt change</t>
  </si>
  <si>
    <t xml:space="preserve">2nd reviewer agrees? (blind check)</t>
  </si>
  <si>
    <t xml:space="preserve">Case - Hewlett-Packard</t>
  </si>
  <si>
    <t xml:space="preserve">case</t>
  </si>
  <si>
    <t xml:space="preserve">The Ambidextrous CEO (HBR, June 2011)</t>
  </si>
  <si>
    <t xml:space="preserve">By 1996 HP had a successful flatbed scanner franchise, scaling rapidly to meet demand</t>
  </si>
  <si>
    <t xml:space="preserve">PDF p. 5, col. 1</t>
  </si>
  <si>
    <t xml:space="preserve">Naw Aung</t>
  </si>
  <si>
    <t xml:space="preserve">A small team several layers down built a handheld scanner prototype; flatbed-focused managers gave it no attention</t>
  </si>
  <si>
    <t xml:space="preserve">Y (Shawn)</t>
  </si>
  <si>
    <t xml:space="preserve">Antonio Perez intervened with $10 million to validate the portables business</t>
  </si>
  <si>
    <t xml:space="preserve">Within months the scanners unit diverted the funds; the portables team was left with no funds and no authority</t>
  </si>
  <si>
    <t xml:space="preserve">Case - Starbucks</t>
  </si>
  <si>
    <t xml:space="preserve">philosophy-eats-ai.pdf (Philosophy Eats AI, MIT SMR 2025)</t>
  </si>
  <si>
    <t xml:space="preserve">Starbucks built Deep Brew to promote what it saw as the ontological essence of its experience</t>
  </si>
  <si>
    <t xml:space="preserve">PDF p. 4, col. 1</t>
  </si>
  <si>
    <t xml:space="preserve">That essence is connection among customers and store employees, in store and online</t>
  </si>
  <si>
    <t xml:space="preserve">Digitally facilitating "connected experiences" became central to how Starbucks cultivated loyalty</t>
  </si>
  <si>
    <t xml:space="preserve">Deep Brew also supports the rewards programme</t>
  </si>
  <si>
    <t xml:space="preserve">Note omits 2019 / Kevin Johnson; omission, not error</t>
  </si>
  <si>
    <t xml:space="preserve">Y (Faiiz)</t>
  </si>
  <si>
    <t xml:space="preserve">Case - USA Today</t>
  </si>
  <si>
    <t xml:space="preserve">The online business met 600 deadlines a day</t>
  </si>
  <si>
    <t xml:space="preserve">PDF p. 6 (HBR p. 79), col. 2</t>
  </si>
  <si>
    <t xml:space="preserve">The online team was young and web-savvy</t>
  </si>
  <si>
    <t xml:space="preserve">The online team packaged wire-service content</t>
  </si>
  <si>
    <t xml:space="preserve">Ambidextrous Leadership</t>
  </si>
  <si>
    <t xml:space="preserve">core</t>
  </si>
  <si>
    <t xml:space="preserve">CEOs push the core-versus-innovation trade-off down into the units, creating "feudal baronies"</t>
  </si>
  <si>
    <t xml:space="preserve">PDF p. 3, col. 1</t>
  </si>
  <si>
    <t xml:space="preserve">Pushing the trade-off down lets the core win</t>
  </si>
  <si>
    <t xml:space="preserve">PDF p. 5, pull quote</t>
  </si>
  <si>
    <t xml:space="preserve">Source wording: "innovation usually loses out"</t>
  </si>
  <si>
    <t xml:space="preserve">Learner's Stance - Three Shifts</t>
  </si>
  <si>
    <t xml:space="preserve">Day 10 leadership reading (Recommendations 3–4, Digital Identity Threat)</t>
  </si>
  <si>
    <t xml:space="preserve">A growth identity is needed by digital natives and non-natives alike</t>
  </si>
  <si>
    <t xml:space="preserve">PDF p. 5, col. 2</t>
  </si>
  <si>
    <t xml:space="preserve">Shift 1: from "I know it all" to learning as a sign of strength</t>
  </si>
  <si>
    <t xml:space="preserve">Shift 2: from "I need to have all the answers" to using experience to distil the right questions</t>
  </si>
  <si>
    <t xml:space="preserve">Shift 3: from "change and uncertainty make my job difficult" to the reframed stance</t>
  </si>
  <si>
    <t xml:space="preserve">The leader's job is no longer to have all the answers but to ask the right questions and stay open to new possibilities</t>
  </si>
  <si>
    <t xml:space="preserve">Positions vs Interests</t>
  </si>
  <si>
    <t xml:space="preserve">Digital change brings real costs: loss of resources, status or power</t>
  </si>
  <si>
    <t xml:space="preserve">Digital change brings loss of energy (and time)</t>
  </si>
  <si>
    <t xml:space="preserve">Costs of renegotiating expectations, dismantling structures and realigning incentives</t>
  </si>
  <si>
    <t xml:space="preserve">Leaders then dig into positions</t>
  </si>
  <si>
    <t xml:space="preserve">Source: "become more positional"</t>
  </si>
  <si>
    <t xml:space="preserve">Three Philosophical Lenses on AI</t>
  </si>
  <si>
    <t xml:space="preserve">Teleology asks what the AI should achieve (purpose)</t>
  </si>
  <si>
    <t xml:space="preserve">PDF p. 2, col. 2</t>
  </si>
  <si>
    <t xml:space="preserve">Epistemology asks what counts as knowledge</t>
  </si>
  <si>
    <t xml:space="preserve">Ontology asks how the AI represents reality and what entities it treats as meaningful</t>
  </si>
  <si>
    <t xml:space="preserve">PDF p. 2, col. 2; p. 14</t>
  </si>
  <si>
    <t xml:space="preserve">Second half matches p. 14 "what exists and how to categorize it"</t>
  </si>
  <si>
    <t xml:space="preserve">Starbucks used ontology, Amazon epistemology, and both used teleology to define loyalty</t>
  </si>
  <si>
    <t xml:space="preserve">PDF p. 4, col. 2</t>
  </si>
  <si>
    <t xml:space="preserve">Zoom-In Zoom-Out Strategizing</t>
  </si>
  <si>
    <t xml:space="preserve">How Digital Leadership Is(n't) Different</t>
  </si>
  <si>
    <t xml:space="preserve">Called zoom-in/zoom-out strategizing by many in Silicon Valley</t>
  </si>
  <si>
    <t xml:space="preserve">p. 39 (printed), col. 2</t>
  </si>
  <si>
    <t xml:space="preserve">Executives forecast the industry 10 years ahead, then plot moves for the next 12 to 18 months</t>
  </si>
  <si>
    <t xml:space="preserve">It will not predict accurately but avoids strategising for the current digital environment</t>
  </si>
  <si>
    <t xml:space="preserve">Run within continuing education sessions, guided by facilitators with deep digital knowledge</t>
  </si>
  <si>
    <t xml:space="preserve">2 · Fresh-file timing (each file processed one way only)</t>
  </si>
  <si>
    <t xml:space="preserve">A and C by hand, B and D with myTutor. Assign files to letters BEFORE opening any. Compare minutes per 1,000 words.</t>
  </si>
  <si>
    <t xml:space="preserve">Date</t>
  </si>
  <si>
    <t xml:space="preserve">2026-11-01</t>
  </si>
  <si>
    <t xml:space="preserve">Where the 4 files come from</t>
  </si>
  <si>
    <t xml:space="preserve">Readings downloaded from the course portal, unopened. WDHB report split into pp 6–10 (B) and pp 27–30 (C). Excluded before timing: CrowdStrike report (scanned, no text; no OCR) and risk-appetite template (433 words, too short).</t>
  </si>
  <si>
    <t xml:space="preserve">Manual clock rule</t>
  </si>
  <si>
    <t xml:space="preserve">Same as baseline: open file → notes filed and linked in Obsidian</t>
  </si>
  <si>
    <t xml:space="preserve">myTutor clock rule</t>
  </si>
  <si>
    <t xml:space="preserve">Whole logged run (122.4 s for B + D together, split evenly) + my timed review of all 17 notes in Obsidian: open every note, click at least one link, skim properties (2.35 min, split evenly)</t>
  </si>
  <si>
    <t xml:space="preserve">generate.py version</t>
  </si>
  <si>
    <t xml:space="preserve">Improved quiz prompt (28 Oct), copied into working folder before the run</t>
  </si>
  <si>
    <t xml:space="preserve">File</t>
  </si>
  <si>
    <t xml:space="preserve">File name</t>
  </si>
  <si>
    <t xml:space="preserve">Type</t>
  </si>
  <si>
    <t xml:space="preserve">Words</t>
  </si>
  <si>
    <t xml:space="preserve">Method</t>
  </si>
  <si>
    <t xml:space="preserve">Machine minutes (myTutor full run, from log)</t>
  </si>
  <si>
    <t xml:space="preserve">My active minutes (manual work, or review)</t>
  </si>
  <si>
    <t xml:space="preserve">Total minutes</t>
  </si>
  <si>
    <t xml:space="preserve">Notes made</t>
  </si>
  <si>
    <t xml:space="preserve">Minutes per 1,000 words</t>
  </si>
  <si>
    <t xml:space="preserve">Same checklist? (Y/N)</t>
  </si>
  <si>
    <t xml:space="preserve">Remarks</t>
  </si>
  <si>
    <t xml:space="preserve">A</t>
  </si>
  <si>
    <t xml:space="preserve">A - NCSC Impact of AI on cyber threat to 2027.pdf</t>
  </si>
  <si>
    <t xml:space="preserve">reading</t>
  </si>
  <si>
    <t xml:space="preserve">By hand</t>
  </si>
  <si>
    <t xml:space="preserve">Y</t>
  </si>
  <si>
    <t xml:space="preserve">8.17 min + 0.5 min to add the PDF link; 5 of 7 notes pass all 5 checks</t>
  </si>
  <si>
    <t xml:space="preserve">B</t>
  </si>
  <si>
    <t xml:space="preserve">B - WDHB Final Report (pp 6-10).pdf</t>
  </si>
  <si>
    <t xml:space="preserve">report</t>
  </si>
  <si>
    <t xml:space="preserve">myTutor</t>
  </si>
  <si>
    <t xml:space="preserve">17/17 myTutor notes pass (B + D); 10 sampled notes also passed automatic checks</t>
  </si>
  <si>
    <t xml:space="preserve">C</t>
  </si>
  <si>
    <t xml:space="preserve">C - WDHB Final Report (pp 27-30).pdf</t>
  </si>
  <si>
    <t xml:space="preserve">7 of 7 notes pass; done last, after reviewing B</t>
  </si>
  <si>
    <t xml:space="preserve">D</t>
  </si>
  <si>
    <t xml:space="preserve">D - Updated CRS deck.pdf</t>
  </si>
  <si>
    <t xml:space="preserve">slides</t>
  </si>
  <si>
    <t xml:space="preserve">see B</t>
  </si>
  <si>
    <t xml:space="preserve">By hand: minutes per 1,000 words (A + C, from totals)</t>
  </si>
  <si>
    <t xml:space="preserve">myTutor: minutes per 1,000 words (B + D, from totals)</t>
  </si>
  <si>
    <t xml:space="preserve">Fresh-file saving per 1,000 words</t>
  </si>
  <si>
    <t xml:space="preserve">Original Day 9 test: by hand, min per 1,000 words</t>
  </si>
  <si>
    <t xml:space="preserve">Source: final deck slide 7 (44.5 min ÷ 15,212 words; 12.3 min ÷ 15,212 words)</t>
  </si>
  <si>
    <t xml:space="preserve">Original Day 9 test: myTutor full run + review, min per 1,000 words</t>
  </si>
  <si>
    <t xml:space="preserve">Original saving</t>
  </si>
  <si>
    <t xml:space="preserve">3 · Quiz-quality retest (same rubric for old and new set)</t>
  </si>
  <si>
    <t xml:space="preserve">5 points per question × 20 = 100. Score the old Day 9 set too, so the comparison is like-for-like.</t>
  </si>
  <si>
    <t xml:space="preserve">Rubric</t>
  </si>
  <si>
    <t xml:space="preserve">Correct answer unambiguous</t>
  </si>
  <si>
    <t xml:space="preserve">0 or 1</t>
  </si>
  <si>
    <t xml:space="preserve">Matches the source note</t>
  </si>
  <si>
    <t xml:space="preserve">Distractor plausibility</t>
  </si>
  <si>
    <t xml:space="preserve">0 = any absurd/give-away option · 1 = mixed · 2 = all wrong options plausible (related theory, real misconception)</t>
  </si>
  <si>
    <t xml:space="preserve">Thinking level</t>
  </si>
  <si>
    <t xml:space="preserve">0 = recall · 1 = application or analysis</t>
  </si>
  <si>
    <t xml:space="preserve">Note: the earlier 72/100 came from an AI review with a different rubric, so compare old vs new on THIS rubric, not against 72.</t>
  </si>
  <si>
    <t xml:space="preserve">Result used in the deck (1 Nov): the 20-question Day 11 set (new prompt, 4 fresh files) was rated by an AI review, the same kind of review that gave the Day 9 set 72/100. Day 11: 76/100 (17 of 20 questions rated individually). Strong source grounding and scenarios; still weak distractors, longer correct answers, one cross-question clue. Stored answer letters A 35%, B 20%, C 40%, D 5% (the practice page shuffles positions). Next fix: an automatic quality-check step. The rubric below was not used.</t>
  </si>
  <si>
    <t xml:space="preserve">Set</t>
  </si>
  <si>
    <t xml:space="preserve">Q#</t>
  </si>
  <si>
    <t xml:space="preserve">Question (first words)</t>
  </si>
  <si>
    <t xml:space="preserve">Correct letter</t>
  </si>
  <si>
    <t xml:space="preserve">Unambiguous (0-1)</t>
  </si>
  <si>
    <t xml:space="preserve">Source match (0-1)</t>
  </si>
  <si>
    <t xml:space="preserve">Distractors (0-2)</t>
  </si>
  <si>
    <t xml:space="preserve">Level (0-1)</t>
  </si>
  <si>
    <t xml:space="preserve">Item score</t>
  </si>
  <si>
    <t xml:space="preserve">Weakness / comment</t>
  </si>
  <si>
    <t xml:space="preserve">Summary</t>
  </si>
  <si>
    <t xml:space="preserve">Day 9 original</t>
  </si>
  <si>
    <t xml:space="preserve">New set</t>
  </si>
  <si>
    <t xml:space="preserve">Total /100</t>
  </si>
  <si>
    <t xml:space="preserve">Distractor points /40</t>
  </si>
  <si>
    <t xml:space="preserve">Application/analysis items /20</t>
  </si>
  <si>
    <t xml:space="preserve">Unambiguous /20</t>
  </si>
  <si>
    <t xml:space="preserve">Share of answers = B</t>
  </si>
  <si>
    <t xml:space="preserve">Questions scored</t>
  </si>
  <si>
    <t xml:space="preserve">Score as % (comparable if counts differ)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</si>
</sst>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%"/>
    <numFmt numFmtId="167" formatCode="0.00"/>
    <numFmt numFmtId="168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80808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  <fill>
      <patternFill patternType="solid">
        <fgColor rgb="FF2B2725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72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</row>
    <row r="5" customFormat="false" ht="15" hidden="false" customHeight="true" outlineLevel="0" collapsed="false">
      <c r="A5" s="6" t="s">
        <v>3</v>
      </c>
      <c r="B5" s="5" t="s">
        <v>4</v>
      </c>
    </row>
    <row r="6" customFormat="false" ht="15" hidden="false" customHeight="true" outlineLevel="0" collapsed="false">
      <c r="A6" s="6" t="s">
        <v>5</v>
      </c>
      <c r="B6" s="5" t="s">
        <v>6</v>
      </c>
    </row>
    <row r="7" customFormat="false" ht="15" hidden="false" customHeight="true" outlineLevel="0" collapsed="false">
      <c r="A7" s="6"/>
      <c r="B7" s="5"/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26.25" hidden="false" customHeight="true" outlineLevel="0" collapsed="false">
      <c r="A9" s="6" t="s">
        <v>9</v>
      </c>
      <c r="B9" s="5" t="s">
        <v>10</v>
      </c>
    </row>
    <row r="10" customFormat="false" ht="26.25" hidden="false" customHeight="true" outlineLevel="0" collapsed="false">
      <c r="A10" s="6" t="s">
        <v>11</v>
      </c>
      <c r="B10" s="5" t="s">
        <v>12</v>
      </c>
    </row>
    <row r="11" customFormat="false" ht="26.25" hidden="false" customHeight="true" outlineLevel="0" collapsed="false">
      <c r="A11" s="6" t="s">
        <v>13</v>
      </c>
      <c r="B11" s="5" t="s">
        <v>14</v>
      </c>
    </row>
    <row r="12" customFormat="false" ht="15" hidden="false" customHeight="true" outlineLevel="0" collapsed="false">
      <c r="A12" s="6"/>
      <c r="B12" s="5"/>
    </row>
    <row r="13" customFormat="false" ht="15" hidden="false" customHeight="true" outlineLevel="0" collapsed="false">
      <c r="A13" s="6" t="s">
        <v>15</v>
      </c>
      <c r="B13" s="5" t="s">
        <v>16</v>
      </c>
    </row>
    <row r="14" customFormat="false" ht="15" hidden="false" customHeight="true" outlineLevel="0" collapsed="false">
      <c r="A14" s="6" t="s">
        <v>17</v>
      </c>
      <c r="B14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  <col collapsed="false" customWidth="true" hidden="false" outlineLevel="0" max="3" min="3" style="1" width="28"/>
    <col collapsed="false" customWidth="true" hidden="false" outlineLevel="0" max="4" min="4" style="1" width="48"/>
    <col collapsed="false" customWidth="true" hidden="false" outlineLevel="0" max="5" min="5" style="1" width="22"/>
    <col collapsed="false" customWidth="true" hidden="false" outlineLevel="0" max="6" min="6" style="1" width="15"/>
    <col collapsed="false" customWidth="true" hidden="false" outlineLevel="0" max="7" min="7" style="1" width="24"/>
    <col collapsed="false" customWidth="true" hidden="false" outlineLevel="0" max="8" min="8" style="1" width="30"/>
    <col collapsed="false" customWidth="true" hidden="false" outlineLevel="0" max="9" min="9" style="1" width="13"/>
    <col collapsed="false" customWidth="true" hidden="false" outlineLevel="0" max="10" min="10" style="1" width="14"/>
  </cols>
  <sheetData>
    <row r="1" customFormat="false" ht="17.2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4" t="s">
        <v>21</v>
      </c>
      <c r="G4" s="4" t="s">
        <v>22</v>
      </c>
    </row>
    <row r="5" customFormat="false" ht="15" hidden="false" customHeight="true" outlineLevel="0" collapsed="false">
      <c r="A5" s="6" t="s">
        <v>23</v>
      </c>
      <c r="B5" s="7" t="s">
        <v>24</v>
      </c>
      <c r="C5" s="7"/>
      <c r="D5" s="7"/>
      <c r="E5" s="7"/>
      <c r="G5" s="6" t="s">
        <v>25</v>
      </c>
      <c r="H5" s="8" t="n">
        <f aca="false">COUNTA(F15:F214)</f>
        <v>30</v>
      </c>
    </row>
    <row r="6" customFormat="false" ht="15" hidden="false" customHeight="true" outlineLevel="0" collapsed="false">
      <c r="A6" s="6" t="s">
        <v>26</v>
      </c>
      <c r="B6" s="7" t="s">
        <v>27</v>
      </c>
      <c r="C6" s="7"/>
      <c r="D6" s="7"/>
      <c r="E6" s="7"/>
      <c r="G6" s="6" t="s">
        <v>28</v>
      </c>
      <c r="H6" s="8" t="n">
        <f aca="false">COUNTIF(F15:F214,"Supported")</f>
        <v>30</v>
      </c>
    </row>
    <row r="7" customFormat="false" ht="15" hidden="false" customHeight="true" outlineLevel="0" collapsed="false">
      <c r="A7" s="6" t="s">
        <v>29</v>
      </c>
      <c r="B7" s="7" t="s">
        <v>30</v>
      </c>
      <c r="C7" s="7"/>
      <c r="D7" s="7"/>
      <c r="E7" s="7"/>
      <c r="G7" s="6" t="s">
        <v>31</v>
      </c>
      <c r="H7" s="8" t="n">
        <f aca="false">COUNTIF(F15:F214,"Unsupported")</f>
        <v>0</v>
      </c>
    </row>
    <row r="8" customFormat="false" ht="15" hidden="false" customHeight="true" outlineLevel="0" collapsed="false">
      <c r="A8" s="6" t="s">
        <v>32</v>
      </c>
      <c r="B8" s="7" t="s">
        <v>33</v>
      </c>
      <c r="C8" s="7"/>
      <c r="D8" s="7"/>
      <c r="E8" s="7"/>
      <c r="G8" s="6" t="s">
        <v>34</v>
      </c>
      <c r="H8" s="8" t="n">
        <f aca="false">COUNTIF(F15:F214,"Interpretation")</f>
        <v>0</v>
      </c>
    </row>
    <row r="9" customFormat="false" ht="15" hidden="false" customHeight="true" outlineLevel="0" collapsed="false">
      <c r="A9" s="6" t="s">
        <v>35</v>
      </c>
      <c r="B9" s="7" t="s">
        <v>36</v>
      </c>
      <c r="C9" s="7"/>
      <c r="D9" s="7"/>
      <c r="E9" s="7"/>
      <c r="G9" s="6" t="s">
        <v>37</v>
      </c>
      <c r="H9" s="8" t="n">
        <f aca="false">COUNTIF(F15:F214,"Unclear")</f>
        <v>0</v>
      </c>
    </row>
    <row r="10" customFormat="false" ht="15" hidden="false" customHeight="true" outlineLevel="0" collapsed="false">
      <c r="A10" s="6" t="s">
        <v>38</v>
      </c>
      <c r="B10" s="7" t="s">
        <v>39</v>
      </c>
      <c r="C10" s="7"/>
      <c r="D10" s="7"/>
      <c r="E10" s="7"/>
      <c r="G10" s="6" t="s">
        <v>40</v>
      </c>
      <c r="H10" s="9" t="n">
        <f aca="false">IFERROR(H6/H5,"")</f>
        <v>1</v>
      </c>
    </row>
    <row r="11" customFormat="false" ht="15" hidden="false" customHeight="true" outlineLevel="0" collapsed="false">
      <c r="A11" s="6" t="s">
        <v>41</v>
      </c>
      <c r="B11" s="7" t="s">
        <v>42</v>
      </c>
      <c r="C11" s="7"/>
      <c r="D11" s="7"/>
      <c r="E11" s="7"/>
      <c r="G11" s="6" t="s">
        <v>43</v>
      </c>
      <c r="H11" s="8" t="n">
        <f aca="false">SUMPRODUCT((A15:A214&lt;&gt;"")/COUNTIF(A15:A214,A15:A214&amp;""))</f>
        <v>8</v>
      </c>
    </row>
    <row r="12" customFormat="false" ht="15" hidden="false" customHeight="true" outlineLevel="0" collapsed="false">
      <c r="A12" s="3" t="s">
        <v>44</v>
      </c>
      <c r="G12" s="6" t="s">
        <v>45</v>
      </c>
      <c r="H12" s="8" t="n">
        <f aca="false">COUNTIF(G15:G214,"Substantive misinformation")</f>
        <v>0</v>
      </c>
    </row>
    <row r="13" customFormat="false" ht="15" hidden="false" customHeight="true" outlineLevel="0" collapsed="false">
      <c r="G13" s="4" t="s">
        <v>46</v>
      </c>
      <c r="H13" s="1" t="str">
        <f aca="false">IF(H5=0,"","Manual self-audit (Day 10, by Naw Aung): "&amp;H6&amp;" of "&amp;H5&amp;" claims supported ("&amp;TEXT(H10,"0%")&amp;") across "&amp;H11&amp;" notes (3 case, 5 core) drawn at random by n8n, "&amp;H12&amp;" substantive errors; each checked against the source page. 2 classmates blind-checked 10 random claims: "&amp;COUNTIF(J15:J44,"Y*")&amp;" of 10 agree. 2 quiz notes in the sample were excluded.")</f>
        <v>Manual self-audit (Day 10, by Naw Aung): 30 of 30 claims supported (100%) across 8 notes (3 case, 5 core) drawn at random by n8n, 0 substantive errors; each checked against the source page. 2 classmates blind-checked 10 random claims: 10 of 10 agree. 2 quiz notes in the sample were excluded.</v>
      </c>
    </row>
    <row r="14" customFormat="false" ht="31.5" hidden="false" customHeight="true" outlineLevel="0" collapsed="false">
      <c r="A14" s="10" t="s">
        <v>47</v>
      </c>
      <c r="B14" s="10" t="s">
        <v>48</v>
      </c>
      <c r="C14" s="10" t="s">
        <v>49</v>
      </c>
      <c r="D14" s="10" t="s">
        <v>50</v>
      </c>
      <c r="E14" s="10" t="s">
        <v>51</v>
      </c>
      <c r="F14" s="10" t="s">
        <v>52</v>
      </c>
      <c r="G14" s="10" t="s">
        <v>53</v>
      </c>
      <c r="H14" s="10" t="s">
        <v>54</v>
      </c>
      <c r="I14" s="10" t="s">
        <v>38</v>
      </c>
      <c r="J14" s="10" t="s">
        <v>55</v>
      </c>
    </row>
    <row r="15" customFormat="false" ht="15" hidden="false" customHeight="true" outlineLevel="0" collapsed="false">
      <c r="A15" s="7" t="s">
        <v>56</v>
      </c>
      <c r="B15" s="7" t="s">
        <v>57</v>
      </c>
      <c r="C15" s="7" t="s">
        <v>58</v>
      </c>
      <c r="D15" s="7" t="s">
        <v>59</v>
      </c>
      <c r="E15" s="7" t="s">
        <v>60</v>
      </c>
      <c r="F15" s="7" t="s">
        <v>28</v>
      </c>
      <c r="G15" s="7"/>
      <c r="H15" s="7"/>
      <c r="I15" s="7" t="s">
        <v>61</v>
      </c>
      <c r="J15" s="7"/>
    </row>
    <row r="16" customFormat="false" ht="15" hidden="false" customHeight="true" outlineLevel="0" collapsed="false">
      <c r="A16" s="7" t="s">
        <v>56</v>
      </c>
      <c r="B16" s="7" t="s">
        <v>57</v>
      </c>
      <c r="C16" s="7" t="s">
        <v>58</v>
      </c>
      <c r="D16" s="7" t="s">
        <v>62</v>
      </c>
      <c r="E16" s="7" t="s">
        <v>60</v>
      </c>
      <c r="F16" s="7" t="s">
        <v>28</v>
      </c>
      <c r="G16" s="7"/>
      <c r="H16" s="7"/>
      <c r="I16" s="7" t="s">
        <v>61</v>
      </c>
      <c r="J16" s="7" t="s">
        <v>63</v>
      </c>
    </row>
    <row r="17" customFormat="false" ht="15" hidden="false" customHeight="true" outlineLevel="0" collapsed="false">
      <c r="A17" s="7" t="s">
        <v>56</v>
      </c>
      <c r="B17" s="7" t="s">
        <v>57</v>
      </c>
      <c r="C17" s="7" t="s">
        <v>58</v>
      </c>
      <c r="D17" s="7" t="s">
        <v>64</v>
      </c>
      <c r="E17" s="7" t="s">
        <v>60</v>
      </c>
      <c r="F17" s="7" t="s">
        <v>28</v>
      </c>
      <c r="G17" s="7"/>
      <c r="H17" s="7"/>
      <c r="I17" s="7" t="s">
        <v>61</v>
      </c>
      <c r="J17" s="7" t="s">
        <v>63</v>
      </c>
    </row>
    <row r="18" customFormat="false" ht="15" hidden="false" customHeight="true" outlineLevel="0" collapsed="false">
      <c r="A18" s="7" t="s">
        <v>56</v>
      </c>
      <c r="B18" s="7" t="s">
        <v>57</v>
      </c>
      <c r="C18" s="7" t="s">
        <v>58</v>
      </c>
      <c r="D18" s="7" t="s">
        <v>65</v>
      </c>
      <c r="E18" s="7" t="s">
        <v>60</v>
      </c>
      <c r="F18" s="7" t="s">
        <v>28</v>
      </c>
      <c r="G18" s="7"/>
      <c r="H18" s="7"/>
      <c r="I18" s="7" t="s">
        <v>61</v>
      </c>
      <c r="J18" s="7" t="s">
        <v>63</v>
      </c>
    </row>
    <row r="19" customFormat="false" ht="15" hidden="false" customHeight="true" outlineLevel="0" collapsed="false">
      <c r="A19" s="7" t="s">
        <v>66</v>
      </c>
      <c r="B19" s="7" t="s">
        <v>57</v>
      </c>
      <c r="C19" s="7" t="s">
        <v>67</v>
      </c>
      <c r="D19" s="7" t="s">
        <v>68</v>
      </c>
      <c r="E19" s="7" t="s">
        <v>69</v>
      </c>
      <c r="F19" s="7" t="s">
        <v>28</v>
      </c>
      <c r="G19" s="7"/>
      <c r="H19" s="7"/>
      <c r="I19" s="7" t="s">
        <v>61</v>
      </c>
      <c r="J19" s="7"/>
    </row>
    <row r="20" customFormat="false" ht="15" hidden="false" customHeight="true" outlineLevel="0" collapsed="false">
      <c r="A20" s="7" t="s">
        <v>66</v>
      </c>
      <c r="B20" s="7" t="s">
        <v>57</v>
      </c>
      <c r="C20" s="7" t="s">
        <v>67</v>
      </c>
      <c r="D20" s="7" t="s">
        <v>70</v>
      </c>
      <c r="E20" s="7" t="s">
        <v>69</v>
      </c>
      <c r="F20" s="7" t="s">
        <v>28</v>
      </c>
      <c r="G20" s="7"/>
      <c r="H20" s="7"/>
      <c r="I20" s="7" t="s">
        <v>61</v>
      </c>
      <c r="J20" s="7"/>
    </row>
    <row r="21" customFormat="false" ht="15" hidden="false" customHeight="true" outlineLevel="0" collapsed="false">
      <c r="A21" s="7" t="s">
        <v>66</v>
      </c>
      <c r="B21" s="7" t="s">
        <v>57</v>
      </c>
      <c r="C21" s="7" t="s">
        <v>67</v>
      </c>
      <c r="D21" s="7" t="s">
        <v>71</v>
      </c>
      <c r="E21" s="7" t="s">
        <v>69</v>
      </c>
      <c r="F21" s="7" t="s">
        <v>28</v>
      </c>
      <c r="G21" s="7"/>
      <c r="H21" s="7"/>
      <c r="I21" s="7" t="s">
        <v>61</v>
      </c>
      <c r="J21" s="7"/>
    </row>
    <row r="22" customFormat="false" ht="15" hidden="false" customHeight="true" outlineLevel="0" collapsed="false">
      <c r="A22" s="7" t="s">
        <v>66</v>
      </c>
      <c r="B22" s="7" t="s">
        <v>57</v>
      </c>
      <c r="C22" s="7" t="s">
        <v>67</v>
      </c>
      <c r="D22" s="7" t="s">
        <v>72</v>
      </c>
      <c r="E22" s="7" t="s">
        <v>69</v>
      </c>
      <c r="F22" s="7" t="s">
        <v>28</v>
      </c>
      <c r="G22" s="7"/>
      <c r="H22" s="7" t="s">
        <v>73</v>
      </c>
      <c r="I22" s="7" t="s">
        <v>61</v>
      </c>
      <c r="J22" s="7" t="s">
        <v>74</v>
      </c>
    </row>
    <row r="23" customFormat="false" ht="15" hidden="false" customHeight="true" outlineLevel="0" collapsed="false">
      <c r="A23" s="7" t="s">
        <v>75</v>
      </c>
      <c r="B23" s="7" t="s">
        <v>57</v>
      </c>
      <c r="C23" s="7" t="s">
        <v>58</v>
      </c>
      <c r="D23" s="7" t="s">
        <v>76</v>
      </c>
      <c r="E23" s="7" t="s">
        <v>77</v>
      </c>
      <c r="F23" s="7" t="s">
        <v>28</v>
      </c>
      <c r="G23" s="7"/>
      <c r="H23" s="7"/>
      <c r="I23" s="7" t="s">
        <v>61</v>
      </c>
      <c r="J23" s="7"/>
    </row>
    <row r="24" customFormat="false" ht="15" hidden="false" customHeight="true" outlineLevel="0" collapsed="false">
      <c r="A24" s="7" t="s">
        <v>75</v>
      </c>
      <c r="B24" s="7" t="s">
        <v>57</v>
      </c>
      <c r="C24" s="7" t="s">
        <v>58</v>
      </c>
      <c r="D24" s="7" t="s">
        <v>78</v>
      </c>
      <c r="E24" s="7" t="s">
        <v>77</v>
      </c>
      <c r="F24" s="7" t="s">
        <v>28</v>
      </c>
      <c r="G24" s="7"/>
      <c r="H24" s="7"/>
      <c r="I24" s="7" t="s">
        <v>61</v>
      </c>
      <c r="J24" s="7"/>
    </row>
    <row r="25" customFormat="false" ht="15" hidden="false" customHeight="true" outlineLevel="0" collapsed="false">
      <c r="A25" s="7" t="s">
        <v>75</v>
      </c>
      <c r="B25" s="7" t="s">
        <v>57</v>
      </c>
      <c r="C25" s="7" t="s">
        <v>58</v>
      </c>
      <c r="D25" s="7" t="s">
        <v>79</v>
      </c>
      <c r="E25" s="7" t="s">
        <v>77</v>
      </c>
      <c r="F25" s="7" t="s">
        <v>28</v>
      </c>
      <c r="G25" s="7"/>
      <c r="H25" s="7"/>
      <c r="I25" s="7" t="s">
        <v>61</v>
      </c>
      <c r="J25" s="7"/>
    </row>
    <row r="26" customFormat="false" ht="15" hidden="false" customHeight="true" outlineLevel="0" collapsed="false">
      <c r="A26" s="7" t="s">
        <v>80</v>
      </c>
      <c r="B26" s="7" t="s">
        <v>81</v>
      </c>
      <c r="C26" s="7" t="s">
        <v>58</v>
      </c>
      <c r="D26" s="7" t="s">
        <v>82</v>
      </c>
      <c r="E26" s="7" t="s">
        <v>83</v>
      </c>
      <c r="F26" s="7" t="s">
        <v>28</v>
      </c>
      <c r="G26" s="7"/>
      <c r="H26" s="7"/>
      <c r="I26" s="7" t="s">
        <v>61</v>
      </c>
      <c r="J26" s="7"/>
    </row>
    <row r="27" customFormat="false" ht="15" hidden="false" customHeight="true" outlineLevel="0" collapsed="false">
      <c r="A27" s="7" t="s">
        <v>80</v>
      </c>
      <c r="B27" s="7" t="s">
        <v>81</v>
      </c>
      <c r="C27" s="7" t="s">
        <v>58</v>
      </c>
      <c r="D27" s="7" t="s">
        <v>84</v>
      </c>
      <c r="E27" s="7" t="s">
        <v>85</v>
      </c>
      <c r="F27" s="7" t="s">
        <v>28</v>
      </c>
      <c r="G27" s="7"/>
      <c r="H27" s="7" t="s">
        <v>86</v>
      </c>
      <c r="I27" s="7" t="s">
        <v>61</v>
      </c>
      <c r="J27" s="7" t="s">
        <v>63</v>
      </c>
    </row>
    <row r="28" customFormat="false" ht="15" hidden="false" customHeight="true" outlineLevel="0" collapsed="false">
      <c r="A28" s="7" t="s">
        <v>87</v>
      </c>
      <c r="B28" s="7" t="s">
        <v>81</v>
      </c>
      <c r="C28" s="7" t="s">
        <v>88</v>
      </c>
      <c r="D28" s="7" t="s">
        <v>89</v>
      </c>
      <c r="E28" s="7" t="s">
        <v>90</v>
      </c>
      <c r="F28" s="7" t="s">
        <v>28</v>
      </c>
      <c r="G28" s="7"/>
      <c r="H28" s="7"/>
      <c r="I28" s="7" t="s">
        <v>61</v>
      </c>
      <c r="J28" s="7"/>
    </row>
    <row r="29" customFormat="false" ht="15" hidden="false" customHeight="true" outlineLevel="0" collapsed="false">
      <c r="A29" s="7" t="s">
        <v>87</v>
      </c>
      <c r="B29" s="7" t="s">
        <v>81</v>
      </c>
      <c r="C29" s="7" t="s">
        <v>88</v>
      </c>
      <c r="D29" s="7" t="s">
        <v>91</v>
      </c>
      <c r="E29" s="7" t="s">
        <v>90</v>
      </c>
      <c r="F29" s="7" t="s">
        <v>28</v>
      </c>
      <c r="G29" s="7"/>
      <c r="H29" s="7"/>
      <c r="I29" s="7" t="s">
        <v>61</v>
      </c>
      <c r="J29" s="7"/>
    </row>
    <row r="30" customFormat="false" ht="15" hidden="false" customHeight="true" outlineLevel="0" collapsed="false">
      <c r="A30" s="7" t="s">
        <v>87</v>
      </c>
      <c r="B30" s="7" t="s">
        <v>81</v>
      </c>
      <c r="C30" s="7" t="s">
        <v>88</v>
      </c>
      <c r="D30" s="7" t="s">
        <v>92</v>
      </c>
      <c r="E30" s="7" t="s">
        <v>90</v>
      </c>
      <c r="F30" s="7" t="s">
        <v>28</v>
      </c>
      <c r="G30" s="7"/>
      <c r="H30" s="7"/>
      <c r="I30" s="7" t="s">
        <v>61</v>
      </c>
      <c r="J30" s="7"/>
    </row>
    <row r="31" customFormat="false" ht="15" hidden="false" customHeight="true" outlineLevel="0" collapsed="false">
      <c r="A31" s="7" t="s">
        <v>87</v>
      </c>
      <c r="B31" s="7" t="s">
        <v>81</v>
      </c>
      <c r="C31" s="7" t="s">
        <v>88</v>
      </c>
      <c r="D31" s="7" t="s">
        <v>93</v>
      </c>
      <c r="E31" s="7" t="s">
        <v>90</v>
      </c>
      <c r="F31" s="7" t="s">
        <v>28</v>
      </c>
      <c r="G31" s="7"/>
      <c r="H31" s="7"/>
      <c r="I31" s="7" t="s">
        <v>61</v>
      </c>
      <c r="J31" s="7"/>
    </row>
    <row r="32" customFormat="false" ht="15" hidden="false" customHeight="true" outlineLevel="0" collapsed="false">
      <c r="A32" s="7" t="s">
        <v>87</v>
      </c>
      <c r="B32" s="7" t="s">
        <v>81</v>
      </c>
      <c r="C32" s="7" t="s">
        <v>88</v>
      </c>
      <c r="D32" s="7" t="s">
        <v>94</v>
      </c>
      <c r="E32" s="7" t="s">
        <v>83</v>
      </c>
      <c r="F32" s="7" t="s">
        <v>28</v>
      </c>
      <c r="G32" s="7"/>
      <c r="H32" s="7"/>
      <c r="I32" s="7" t="s">
        <v>61</v>
      </c>
      <c r="J32" s="7"/>
    </row>
    <row r="33" customFormat="false" ht="15" hidden="false" customHeight="true" outlineLevel="0" collapsed="false">
      <c r="A33" s="7" t="s">
        <v>95</v>
      </c>
      <c r="B33" s="7" t="s">
        <v>81</v>
      </c>
      <c r="C33" s="7" t="s">
        <v>88</v>
      </c>
      <c r="D33" s="7" t="s">
        <v>96</v>
      </c>
      <c r="E33" s="7" t="s">
        <v>60</v>
      </c>
      <c r="F33" s="7" t="s">
        <v>28</v>
      </c>
      <c r="G33" s="7"/>
      <c r="H33" s="7"/>
      <c r="I33" s="7" t="s">
        <v>61</v>
      </c>
      <c r="J33" s="7"/>
    </row>
    <row r="34" customFormat="false" ht="15" hidden="false" customHeight="true" outlineLevel="0" collapsed="false">
      <c r="A34" s="7" t="s">
        <v>95</v>
      </c>
      <c r="B34" s="7" t="s">
        <v>81</v>
      </c>
      <c r="C34" s="7" t="s">
        <v>88</v>
      </c>
      <c r="D34" s="7" t="s">
        <v>97</v>
      </c>
      <c r="E34" s="7" t="s">
        <v>60</v>
      </c>
      <c r="F34" s="7" t="s">
        <v>28</v>
      </c>
      <c r="G34" s="7"/>
      <c r="H34" s="7"/>
      <c r="I34" s="7" t="s">
        <v>61</v>
      </c>
      <c r="J34" s="7"/>
    </row>
    <row r="35" customFormat="false" ht="15" hidden="false" customHeight="true" outlineLevel="0" collapsed="false">
      <c r="A35" s="7" t="s">
        <v>95</v>
      </c>
      <c r="B35" s="7" t="s">
        <v>81</v>
      </c>
      <c r="C35" s="7" t="s">
        <v>88</v>
      </c>
      <c r="D35" s="7" t="s">
        <v>98</v>
      </c>
      <c r="E35" s="7" t="s">
        <v>60</v>
      </c>
      <c r="F35" s="7" t="s">
        <v>28</v>
      </c>
      <c r="G35" s="7"/>
      <c r="H35" s="7"/>
      <c r="I35" s="7" t="s">
        <v>61</v>
      </c>
      <c r="J35" s="7" t="s">
        <v>74</v>
      </c>
    </row>
    <row r="36" customFormat="false" ht="15" hidden="false" customHeight="true" outlineLevel="0" collapsed="false">
      <c r="A36" s="7" t="s">
        <v>95</v>
      </c>
      <c r="B36" s="7" t="s">
        <v>81</v>
      </c>
      <c r="C36" s="7" t="s">
        <v>88</v>
      </c>
      <c r="D36" s="7" t="s">
        <v>99</v>
      </c>
      <c r="E36" s="7" t="s">
        <v>60</v>
      </c>
      <c r="F36" s="7" t="s">
        <v>28</v>
      </c>
      <c r="G36" s="7"/>
      <c r="H36" s="7" t="s">
        <v>100</v>
      </c>
      <c r="I36" s="7" t="s">
        <v>61</v>
      </c>
      <c r="J36" s="7"/>
    </row>
    <row r="37" customFormat="false" ht="15" hidden="false" customHeight="true" outlineLevel="0" collapsed="false">
      <c r="A37" s="7" t="s">
        <v>101</v>
      </c>
      <c r="B37" s="7" t="s">
        <v>81</v>
      </c>
      <c r="C37" s="7" t="s">
        <v>67</v>
      </c>
      <c r="D37" s="7" t="s">
        <v>102</v>
      </c>
      <c r="E37" s="7" t="s">
        <v>103</v>
      </c>
      <c r="F37" s="7" t="s">
        <v>28</v>
      </c>
      <c r="G37" s="7"/>
      <c r="H37" s="7"/>
      <c r="I37" s="7" t="s">
        <v>61</v>
      </c>
      <c r="J37" s="7" t="s">
        <v>74</v>
      </c>
    </row>
    <row r="38" customFormat="false" ht="15" hidden="false" customHeight="true" outlineLevel="0" collapsed="false">
      <c r="A38" s="7" t="s">
        <v>101</v>
      </c>
      <c r="B38" s="7" t="s">
        <v>81</v>
      </c>
      <c r="C38" s="7" t="s">
        <v>67</v>
      </c>
      <c r="D38" s="7" t="s">
        <v>104</v>
      </c>
      <c r="E38" s="7" t="s">
        <v>103</v>
      </c>
      <c r="F38" s="7" t="s">
        <v>28</v>
      </c>
      <c r="G38" s="7"/>
      <c r="H38" s="7"/>
      <c r="I38" s="7" t="s">
        <v>61</v>
      </c>
      <c r="J38" s="7" t="s">
        <v>63</v>
      </c>
    </row>
    <row r="39" customFormat="false" ht="15" hidden="false" customHeight="true" outlineLevel="0" collapsed="false">
      <c r="A39" s="7" t="s">
        <v>101</v>
      </c>
      <c r="B39" s="7" t="s">
        <v>81</v>
      </c>
      <c r="C39" s="7" t="s">
        <v>67</v>
      </c>
      <c r="D39" s="7" t="s">
        <v>105</v>
      </c>
      <c r="E39" s="7" t="s">
        <v>106</v>
      </c>
      <c r="F39" s="7" t="s">
        <v>28</v>
      </c>
      <c r="G39" s="7"/>
      <c r="H39" s="7" t="s">
        <v>107</v>
      </c>
      <c r="I39" s="7" t="s">
        <v>61</v>
      </c>
      <c r="J39" s="7"/>
    </row>
    <row r="40" customFormat="false" ht="15" hidden="false" customHeight="true" outlineLevel="0" collapsed="false">
      <c r="A40" s="7" t="s">
        <v>101</v>
      </c>
      <c r="B40" s="7" t="s">
        <v>81</v>
      </c>
      <c r="C40" s="7" t="s">
        <v>67</v>
      </c>
      <c r="D40" s="7" t="s">
        <v>108</v>
      </c>
      <c r="E40" s="7" t="s">
        <v>109</v>
      </c>
      <c r="F40" s="7" t="s">
        <v>28</v>
      </c>
      <c r="G40" s="7"/>
      <c r="H40" s="7"/>
      <c r="I40" s="7" t="s">
        <v>61</v>
      </c>
      <c r="J40" s="7" t="s">
        <v>74</v>
      </c>
    </row>
    <row r="41" customFormat="false" ht="15" hidden="false" customHeight="true" outlineLevel="0" collapsed="false">
      <c r="A41" s="7" t="s">
        <v>110</v>
      </c>
      <c r="B41" s="7" t="s">
        <v>81</v>
      </c>
      <c r="C41" s="7" t="s">
        <v>111</v>
      </c>
      <c r="D41" s="7" t="s">
        <v>112</v>
      </c>
      <c r="E41" s="7" t="s">
        <v>113</v>
      </c>
      <c r="F41" s="7" t="s">
        <v>28</v>
      </c>
      <c r="G41" s="7"/>
      <c r="H41" s="7"/>
      <c r="I41" s="7" t="s">
        <v>61</v>
      </c>
      <c r="J41" s="7"/>
    </row>
    <row r="42" customFormat="false" ht="15" hidden="false" customHeight="true" outlineLevel="0" collapsed="false">
      <c r="A42" s="7" t="s">
        <v>110</v>
      </c>
      <c r="B42" s="7" t="s">
        <v>81</v>
      </c>
      <c r="C42" s="7" t="s">
        <v>111</v>
      </c>
      <c r="D42" s="7" t="s">
        <v>114</v>
      </c>
      <c r="E42" s="7" t="s">
        <v>113</v>
      </c>
      <c r="F42" s="7" t="s">
        <v>28</v>
      </c>
      <c r="G42" s="7"/>
      <c r="H42" s="7"/>
      <c r="I42" s="7" t="s">
        <v>61</v>
      </c>
      <c r="J42" s="7"/>
    </row>
    <row r="43" customFormat="false" ht="15" hidden="false" customHeight="true" outlineLevel="0" collapsed="false">
      <c r="A43" s="7" t="s">
        <v>110</v>
      </c>
      <c r="B43" s="7" t="s">
        <v>81</v>
      </c>
      <c r="C43" s="7" t="s">
        <v>111</v>
      </c>
      <c r="D43" s="7" t="s">
        <v>115</v>
      </c>
      <c r="E43" s="7" t="s">
        <v>113</v>
      </c>
      <c r="F43" s="7" t="s">
        <v>28</v>
      </c>
      <c r="G43" s="7"/>
      <c r="H43" s="7"/>
      <c r="I43" s="7" t="s">
        <v>61</v>
      </c>
      <c r="J43" s="7"/>
    </row>
    <row r="44" customFormat="false" ht="15" hidden="false" customHeight="true" outlineLevel="0" collapsed="false">
      <c r="A44" s="7" t="s">
        <v>110</v>
      </c>
      <c r="B44" s="7" t="s">
        <v>81</v>
      </c>
      <c r="C44" s="7" t="s">
        <v>111</v>
      </c>
      <c r="D44" s="7" t="s">
        <v>116</v>
      </c>
      <c r="E44" s="7" t="s">
        <v>113</v>
      </c>
      <c r="F44" s="7" t="s">
        <v>28</v>
      </c>
      <c r="G44" s="7"/>
      <c r="H44" s="7"/>
      <c r="I44" s="7" t="s">
        <v>61</v>
      </c>
      <c r="J44" s="7" t="s">
        <v>74</v>
      </c>
    </row>
    <row r="45" customFormat="false" ht="15" hidden="false" customHeight="true" outlineLevel="0" collapsed="false">
      <c r="A45" s="7"/>
      <c r="B45" s="7"/>
      <c r="C45" s="7"/>
      <c r="D45" s="7"/>
      <c r="E45" s="7"/>
      <c r="F45" s="7"/>
      <c r="G45" s="7"/>
      <c r="H45" s="7"/>
      <c r="I45" s="7"/>
      <c r="J45" s="7"/>
    </row>
    <row r="46" customFormat="false" ht="15" hidden="false" customHeight="true" outlineLevel="0" collapsed="false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customFormat="false" ht="15" hidden="false" customHeight="true" outlineLevel="0" collapsed="false">
      <c r="A47" s="7"/>
      <c r="B47" s="7"/>
      <c r="C47" s="7"/>
      <c r="D47" s="7"/>
      <c r="E47" s="7"/>
      <c r="F47" s="7"/>
      <c r="G47" s="7"/>
      <c r="H47" s="7"/>
      <c r="I47" s="7"/>
      <c r="J47" s="7"/>
    </row>
    <row r="48" customFormat="false" ht="15" hidden="false" customHeight="true" outlineLevel="0" collapsed="false">
      <c r="A48" s="7"/>
      <c r="B48" s="7"/>
      <c r="C48" s="7"/>
      <c r="D48" s="7"/>
      <c r="E48" s="7"/>
      <c r="F48" s="7"/>
      <c r="G48" s="7"/>
      <c r="H48" s="7"/>
      <c r="I48" s="7"/>
      <c r="J48" s="7"/>
    </row>
    <row r="49" customFormat="false" ht="15" hidden="false" customHeight="true" outlineLevel="0" collapsed="false">
      <c r="A49" s="7"/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true" outlineLevel="0" collapsed="false">
      <c r="A50" s="7"/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5" hidden="false" customHeight="true" outlineLevel="0" collapsed="false">
      <c r="A51" s="7"/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5" hidden="false" customHeight="true" outlineLevel="0" collapsed="false">
      <c r="A52" s="7"/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5" hidden="false" customHeight="true" outlineLevel="0" collapsed="false">
      <c r="A53" s="7"/>
      <c r="B53" s="7"/>
      <c r="C53" s="7"/>
      <c r="D53" s="7"/>
      <c r="E53" s="7"/>
      <c r="F53" s="7"/>
      <c r="G53" s="7"/>
      <c r="H53" s="7"/>
      <c r="I53" s="7"/>
      <c r="J53" s="7"/>
    </row>
    <row r="54" customFormat="false" ht="15" hidden="false" customHeight="true" outlineLevel="0" collapsed="false">
      <c r="A54" s="7"/>
      <c r="B54" s="7"/>
      <c r="C54" s="7"/>
      <c r="D54" s="7"/>
      <c r="E54" s="7"/>
      <c r="F54" s="7"/>
      <c r="G54" s="7"/>
      <c r="H54" s="7"/>
      <c r="I54" s="7"/>
      <c r="J54" s="7"/>
    </row>
    <row r="55" customFormat="false" ht="15" hidden="false" customHeight="true" outlineLevel="0" collapsed="false">
      <c r="A55" s="7"/>
      <c r="B55" s="7"/>
      <c r="C55" s="7"/>
      <c r="D55" s="7"/>
      <c r="E55" s="7"/>
      <c r="F55" s="7"/>
      <c r="G55" s="7"/>
      <c r="H55" s="7"/>
      <c r="I55" s="7"/>
      <c r="J55" s="7"/>
    </row>
    <row r="56" customFormat="false" ht="15" hidden="false" customHeight="true" outlineLevel="0" collapsed="false">
      <c r="A56" s="7"/>
      <c r="B56" s="7"/>
      <c r="C56" s="7"/>
      <c r="D56" s="7"/>
      <c r="E56" s="7"/>
      <c r="F56" s="7"/>
      <c r="G56" s="7"/>
      <c r="H56" s="7"/>
      <c r="I56" s="7"/>
      <c r="J56" s="7"/>
    </row>
    <row r="57" customFormat="false" ht="15" hidden="false" customHeight="true" outlineLevel="0" collapsed="false">
      <c r="A57" s="7"/>
      <c r="B57" s="7"/>
      <c r="C57" s="7"/>
      <c r="D57" s="7"/>
      <c r="E57" s="7"/>
      <c r="F57" s="7"/>
      <c r="G57" s="7"/>
      <c r="H57" s="7"/>
      <c r="I57" s="7"/>
      <c r="J57" s="7"/>
    </row>
    <row r="58" customFormat="false" ht="15" hidden="false" customHeight="true" outlineLevel="0" collapsed="false">
      <c r="A58" s="7"/>
      <c r="B58" s="7"/>
      <c r="C58" s="7"/>
      <c r="D58" s="7"/>
      <c r="E58" s="7"/>
      <c r="F58" s="7"/>
      <c r="G58" s="7"/>
      <c r="H58" s="7"/>
      <c r="I58" s="7"/>
      <c r="J58" s="7"/>
    </row>
    <row r="59" customFormat="false" ht="15" hidden="false" customHeight="true" outlineLevel="0" collapsed="false">
      <c r="A59" s="7"/>
      <c r="B59" s="7"/>
      <c r="C59" s="7"/>
      <c r="D59" s="7"/>
      <c r="E59" s="7"/>
      <c r="F59" s="7"/>
      <c r="G59" s="7"/>
      <c r="H59" s="7"/>
      <c r="I59" s="7"/>
      <c r="J59" s="7"/>
    </row>
    <row r="60" customFormat="false" ht="15" hidden="false" customHeight="true" outlineLevel="0" collapsed="false">
      <c r="A60" s="7"/>
      <c r="B60" s="7"/>
      <c r="C60" s="7"/>
      <c r="D60" s="7"/>
      <c r="E60" s="7"/>
      <c r="F60" s="7"/>
      <c r="G60" s="7"/>
      <c r="H60" s="7"/>
      <c r="I60" s="7"/>
      <c r="J60" s="7"/>
    </row>
    <row r="61" customFormat="false" ht="15" hidden="false" customHeight="true" outlineLevel="0" collapsed="false">
      <c r="A61" s="7"/>
      <c r="B61" s="7"/>
      <c r="C61" s="7"/>
      <c r="D61" s="7"/>
      <c r="E61" s="7"/>
      <c r="F61" s="7"/>
      <c r="G61" s="7"/>
      <c r="H61" s="7"/>
      <c r="I61" s="7"/>
      <c r="J61" s="7"/>
    </row>
    <row r="62" customFormat="false" ht="15" hidden="false" customHeight="true" outlineLevel="0" collapsed="false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customFormat="false" ht="15" hidden="false" customHeight="true" outlineLevel="0" collapsed="false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customFormat="false" ht="15" hidden="false" customHeight="true" outlineLevel="0" collapsed="false">
      <c r="A64" s="7"/>
      <c r="B64" s="7"/>
      <c r="C64" s="7"/>
      <c r="D64" s="7"/>
      <c r="E64" s="7"/>
      <c r="F64" s="7"/>
      <c r="G64" s="7"/>
      <c r="H64" s="7"/>
      <c r="I64" s="7"/>
      <c r="J64" s="7"/>
    </row>
    <row r="65" customFormat="false" ht="15" hidden="false" customHeight="true" outlineLevel="0" collapsed="false">
      <c r="A65" s="7"/>
      <c r="B65" s="7"/>
      <c r="C65" s="7"/>
      <c r="D65" s="7"/>
      <c r="E65" s="7"/>
      <c r="F65" s="7"/>
      <c r="G65" s="7"/>
      <c r="H65" s="7"/>
      <c r="I65" s="7"/>
      <c r="J65" s="7"/>
    </row>
    <row r="66" customFormat="false" ht="15" hidden="false" customHeight="true" outlineLevel="0" collapsed="false">
      <c r="A66" s="7"/>
      <c r="B66" s="7"/>
      <c r="C66" s="7"/>
      <c r="D66" s="7"/>
      <c r="E66" s="7"/>
      <c r="F66" s="7"/>
      <c r="G66" s="7"/>
      <c r="H66" s="7"/>
      <c r="I66" s="7"/>
      <c r="J66" s="7"/>
    </row>
    <row r="67" customFormat="false" ht="15" hidden="false" customHeight="true" outlineLevel="0" collapsed="false">
      <c r="A67" s="7"/>
      <c r="B67" s="7"/>
      <c r="C67" s="7"/>
      <c r="D67" s="7"/>
      <c r="E67" s="7"/>
      <c r="F67" s="7"/>
      <c r="G67" s="7"/>
      <c r="H67" s="7"/>
      <c r="I67" s="7"/>
      <c r="J67" s="7"/>
    </row>
    <row r="68" customFormat="false" ht="15" hidden="false" customHeight="true" outlineLevel="0" collapsed="false">
      <c r="A68" s="7"/>
      <c r="B68" s="7"/>
      <c r="C68" s="7"/>
      <c r="D68" s="7"/>
      <c r="E68" s="7"/>
      <c r="F68" s="7"/>
      <c r="G68" s="7"/>
      <c r="H68" s="7"/>
      <c r="I68" s="7"/>
      <c r="J68" s="7"/>
    </row>
    <row r="69" customFormat="false" ht="15" hidden="false" customHeight="true" outlineLevel="0" collapsed="false">
      <c r="A69" s="7"/>
      <c r="B69" s="7"/>
      <c r="C69" s="7"/>
      <c r="D69" s="7"/>
      <c r="E69" s="7"/>
      <c r="F69" s="7"/>
      <c r="G69" s="7"/>
      <c r="H69" s="7"/>
      <c r="I69" s="7"/>
      <c r="J69" s="7"/>
    </row>
    <row r="70" customFormat="false" ht="15" hidden="false" customHeight="true" outlineLevel="0" collapsed="false">
      <c r="A70" s="7"/>
      <c r="B70" s="7"/>
      <c r="C70" s="7"/>
      <c r="D70" s="7"/>
      <c r="E70" s="7"/>
      <c r="F70" s="7"/>
      <c r="G70" s="7"/>
      <c r="H70" s="7"/>
      <c r="I70" s="7"/>
      <c r="J70" s="7"/>
    </row>
    <row r="71" customFormat="false" ht="15" hidden="false" customHeight="true" outlineLevel="0" collapsed="false">
      <c r="A71" s="7"/>
      <c r="B71" s="7"/>
      <c r="C71" s="7"/>
      <c r="D71" s="7"/>
      <c r="E71" s="7"/>
      <c r="F71" s="7"/>
      <c r="G71" s="7"/>
      <c r="H71" s="7"/>
      <c r="I71" s="7"/>
      <c r="J71" s="7"/>
    </row>
    <row r="72" customFormat="false" ht="15" hidden="false" customHeight="true" outlineLevel="0" collapsed="false">
      <c r="A72" s="7"/>
      <c r="B72" s="7"/>
      <c r="C72" s="7"/>
      <c r="D72" s="7"/>
      <c r="E72" s="7"/>
      <c r="F72" s="7"/>
      <c r="G72" s="7"/>
      <c r="H72" s="7"/>
      <c r="I72" s="7"/>
      <c r="J72" s="7"/>
    </row>
    <row r="73" customFormat="false" ht="15" hidden="false" customHeight="true" outlineLevel="0" collapsed="false">
      <c r="A73" s="7"/>
      <c r="B73" s="7"/>
      <c r="C73" s="7"/>
      <c r="D73" s="7"/>
      <c r="E73" s="7"/>
      <c r="F73" s="7"/>
      <c r="G73" s="7"/>
      <c r="H73" s="7"/>
      <c r="I73" s="7"/>
      <c r="J73" s="7"/>
    </row>
    <row r="74" customFormat="false" ht="15" hidden="false" customHeight="true" outlineLevel="0" collapsed="false">
      <c r="A74" s="7"/>
      <c r="B74" s="7"/>
      <c r="C74" s="7"/>
      <c r="D74" s="7"/>
      <c r="E74" s="7"/>
      <c r="F74" s="7"/>
      <c r="G74" s="7"/>
      <c r="H74" s="7"/>
      <c r="I74" s="7"/>
      <c r="J74" s="7"/>
    </row>
    <row r="75" customFormat="false" ht="15" hidden="false" customHeight="true" outlineLevel="0" collapsed="false">
      <c r="A75" s="7"/>
      <c r="B75" s="7"/>
      <c r="C75" s="7"/>
      <c r="D75" s="7"/>
      <c r="E75" s="7"/>
      <c r="F75" s="7"/>
      <c r="G75" s="7"/>
      <c r="H75" s="7"/>
      <c r="I75" s="7"/>
      <c r="J75" s="7"/>
    </row>
    <row r="76" customFormat="false" ht="15" hidden="false" customHeight="true" outlineLevel="0" collapsed="false">
      <c r="A76" s="7"/>
      <c r="B76" s="7"/>
      <c r="C76" s="7"/>
      <c r="D76" s="7"/>
      <c r="E76" s="7"/>
      <c r="F76" s="7"/>
      <c r="G76" s="7"/>
      <c r="H76" s="7"/>
      <c r="I76" s="7"/>
      <c r="J76" s="7"/>
    </row>
    <row r="77" customFormat="false" ht="15" hidden="false" customHeight="true" outlineLevel="0" collapsed="false">
      <c r="A77" s="7"/>
      <c r="B77" s="7"/>
      <c r="C77" s="7"/>
      <c r="D77" s="7"/>
      <c r="E77" s="7"/>
      <c r="F77" s="7"/>
      <c r="G77" s="7"/>
      <c r="H77" s="7"/>
      <c r="I77" s="7"/>
      <c r="J77" s="7"/>
    </row>
    <row r="78" customFormat="false" ht="15" hidden="false" customHeight="true" outlineLevel="0" collapsed="false">
      <c r="A78" s="7"/>
      <c r="B78" s="7"/>
      <c r="C78" s="7"/>
      <c r="D78" s="7"/>
      <c r="E78" s="7"/>
      <c r="F78" s="7"/>
      <c r="G78" s="7"/>
      <c r="H78" s="7"/>
      <c r="I78" s="7"/>
      <c r="J78" s="7"/>
    </row>
    <row r="79" customFormat="false" ht="15" hidden="false" customHeight="true" outlineLevel="0" collapsed="false">
      <c r="A79" s="7"/>
      <c r="B79" s="7"/>
      <c r="C79" s="7"/>
      <c r="D79" s="7"/>
      <c r="E79" s="7"/>
      <c r="F79" s="7"/>
      <c r="G79" s="7"/>
      <c r="H79" s="7"/>
      <c r="I79" s="7"/>
      <c r="J79" s="7"/>
    </row>
    <row r="80" customFormat="false" ht="15" hidden="false" customHeight="true" outlineLevel="0" collapsed="false">
      <c r="A80" s="7"/>
      <c r="B80" s="7"/>
      <c r="C80" s="7"/>
      <c r="D80" s="7"/>
      <c r="E80" s="7"/>
      <c r="F80" s="7"/>
      <c r="G80" s="7"/>
      <c r="H80" s="7"/>
      <c r="I80" s="7"/>
      <c r="J80" s="7"/>
    </row>
    <row r="81" customFormat="false" ht="15" hidden="false" customHeight="true" outlineLevel="0" collapsed="false">
      <c r="A81" s="7"/>
      <c r="B81" s="7"/>
      <c r="C81" s="7"/>
      <c r="D81" s="7"/>
      <c r="E81" s="7"/>
      <c r="F81" s="7"/>
      <c r="G81" s="7"/>
      <c r="H81" s="7"/>
      <c r="I81" s="7"/>
      <c r="J81" s="7"/>
    </row>
    <row r="82" customFormat="false" ht="15" hidden="false" customHeight="true" outlineLevel="0" collapsed="false">
      <c r="A82" s="7"/>
      <c r="B82" s="7"/>
      <c r="C82" s="7"/>
      <c r="D82" s="7"/>
      <c r="E82" s="7"/>
      <c r="F82" s="7"/>
      <c r="G82" s="7"/>
      <c r="H82" s="7"/>
      <c r="I82" s="7"/>
      <c r="J82" s="7"/>
    </row>
    <row r="83" customFormat="false" ht="15" hidden="false" customHeight="true" outlineLevel="0" collapsed="false">
      <c r="A83" s="7"/>
      <c r="B83" s="7"/>
      <c r="C83" s="7"/>
      <c r="D83" s="7"/>
      <c r="E83" s="7"/>
      <c r="F83" s="7"/>
      <c r="G83" s="7"/>
      <c r="H83" s="7"/>
      <c r="I83" s="7"/>
      <c r="J83" s="7"/>
    </row>
    <row r="84" customFormat="false" ht="15" hidden="false" customHeight="true" outlineLevel="0" collapsed="false">
      <c r="A84" s="7"/>
      <c r="B84" s="7"/>
      <c r="C84" s="7"/>
      <c r="D84" s="7"/>
      <c r="E84" s="7"/>
      <c r="F84" s="7"/>
      <c r="G84" s="7"/>
      <c r="H84" s="7"/>
      <c r="I84" s="7"/>
      <c r="J84" s="7"/>
    </row>
    <row r="85" customFormat="false" ht="15" hidden="false" customHeight="true" outlineLevel="0" collapsed="false">
      <c r="A85" s="7"/>
      <c r="B85" s="7"/>
      <c r="C85" s="7"/>
      <c r="D85" s="7"/>
      <c r="E85" s="7"/>
      <c r="F85" s="7"/>
      <c r="G85" s="7"/>
      <c r="H85" s="7"/>
      <c r="I85" s="7"/>
      <c r="J85" s="7"/>
    </row>
    <row r="86" customFormat="false" ht="15" hidden="false" customHeight="true" outlineLevel="0" collapsed="false">
      <c r="A86" s="7"/>
      <c r="B86" s="7"/>
      <c r="C86" s="7"/>
      <c r="D86" s="7"/>
      <c r="E86" s="7"/>
      <c r="F86" s="7"/>
      <c r="G86" s="7"/>
      <c r="H86" s="7"/>
      <c r="I86" s="7"/>
      <c r="J86" s="7"/>
    </row>
    <row r="87" customFormat="false" ht="15" hidden="false" customHeight="true" outlineLevel="0" collapsed="false">
      <c r="A87" s="7"/>
      <c r="B87" s="7"/>
      <c r="C87" s="7"/>
      <c r="D87" s="7"/>
      <c r="E87" s="7"/>
      <c r="F87" s="7"/>
      <c r="G87" s="7"/>
      <c r="H87" s="7"/>
      <c r="I87" s="7"/>
      <c r="J87" s="7"/>
    </row>
    <row r="88" customFormat="false" ht="15" hidden="false" customHeight="true" outlineLevel="0" collapsed="false">
      <c r="A88" s="7"/>
      <c r="B88" s="7"/>
      <c r="C88" s="7"/>
      <c r="D88" s="7"/>
      <c r="E88" s="7"/>
      <c r="F88" s="7"/>
      <c r="G88" s="7"/>
      <c r="H88" s="7"/>
      <c r="I88" s="7"/>
      <c r="J88" s="7"/>
    </row>
    <row r="89" customFormat="false" ht="15" hidden="false" customHeight="true" outlineLevel="0" collapsed="false">
      <c r="A89" s="7"/>
      <c r="B89" s="7"/>
      <c r="C89" s="7"/>
      <c r="D89" s="7"/>
      <c r="E89" s="7"/>
      <c r="F89" s="7"/>
      <c r="G89" s="7"/>
      <c r="H89" s="7"/>
      <c r="I89" s="7"/>
      <c r="J89" s="7"/>
    </row>
    <row r="90" customFormat="false" ht="15" hidden="false" customHeight="true" outlineLevel="0" collapsed="false">
      <c r="A90" s="7"/>
      <c r="B90" s="7"/>
      <c r="C90" s="7"/>
      <c r="D90" s="7"/>
      <c r="E90" s="7"/>
      <c r="F90" s="7"/>
      <c r="G90" s="7"/>
      <c r="H90" s="7"/>
      <c r="I90" s="7"/>
      <c r="J90" s="7"/>
    </row>
    <row r="91" customFormat="false" ht="15" hidden="false" customHeight="true" outlineLevel="0" collapsed="false">
      <c r="A91" s="7"/>
      <c r="B91" s="7"/>
      <c r="C91" s="7"/>
      <c r="D91" s="7"/>
      <c r="E91" s="7"/>
      <c r="F91" s="7"/>
      <c r="G91" s="7"/>
      <c r="H91" s="7"/>
      <c r="I91" s="7"/>
      <c r="J91" s="7"/>
    </row>
    <row r="92" customFormat="false" ht="15" hidden="false" customHeight="true" outlineLevel="0" collapsed="false">
      <c r="A92" s="7"/>
      <c r="B92" s="7"/>
      <c r="C92" s="7"/>
      <c r="D92" s="7"/>
      <c r="E92" s="7"/>
      <c r="F92" s="7"/>
      <c r="G92" s="7"/>
      <c r="H92" s="7"/>
      <c r="I92" s="7"/>
      <c r="J92" s="7"/>
    </row>
    <row r="93" customFormat="false" ht="15" hidden="false" customHeight="true" outlineLevel="0" collapsed="false">
      <c r="A93" s="7"/>
      <c r="B93" s="7"/>
      <c r="C93" s="7"/>
      <c r="D93" s="7"/>
      <c r="E93" s="7"/>
      <c r="F93" s="7"/>
      <c r="G93" s="7"/>
      <c r="H93" s="7"/>
      <c r="I93" s="7"/>
      <c r="J93" s="7"/>
    </row>
    <row r="94" customFormat="false" ht="15" hidden="false" customHeight="true" outlineLevel="0" collapsed="false">
      <c r="A94" s="7"/>
      <c r="B94" s="7"/>
      <c r="C94" s="7"/>
      <c r="D94" s="7"/>
      <c r="E94" s="7"/>
      <c r="F94" s="7"/>
      <c r="G94" s="7"/>
      <c r="H94" s="7"/>
      <c r="I94" s="7"/>
      <c r="J94" s="7"/>
    </row>
    <row r="95" customFormat="false" ht="15" hidden="false" customHeight="true" outlineLevel="0" collapsed="false">
      <c r="A95" s="7"/>
      <c r="B95" s="7"/>
      <c r="C95" s="7"/>
      <c r="D95" s="7"/>
      <c r="E95" s="7"/>
      <c r="F95" s="7"/>
      <c r="G95" s="7"/>
      <c r="H95" s="7"/>
      <c r="I95" s="7"/>
      <c r="J95" s="7"/>
    </row>
    <row r="96" customFormat="false" ht="15" hidden="false" customHeight="true" outlineLevel="0" collapsed="false">
      <c r="A96" s="7"/>
      <c r="B96" s="7"/>
      <c r="C96" s="7"/>
      <c r="D96" s="7"/>
      <c r="E96" s="7"/>
      <c r="F96" s="7"/>
      <c r="G96" s="7"/>
      <c r="H96" s="7"/>
      <c r="I96" s="7"/>
      <c r="J96" s="7"/>
    </row>
    <row r="97" customFormat="false" ht="15" hidden="false" customHeight="true" outlineLevel="0" collapsed="false">
      <c r="A97" s="7"/>
      <c r="B97" s="7"/>
      <c r="C97" s="7"/>
      <c r="D97" s="7"/>
      <c r="E97" s="7"/>
      <c r="F97" s="7"/>
      <c r="G97" s="7"/>
      <c r="H97" s="7"/>
      <c r="I97" s="7"/>
      <c r="J97" s="7"/>
    </row>
    <row r="98" customFormat="false" ht="15" hidden="false" customHeight="true" outlineLevel="0" collapsed="false">
      <c r="A98" s="7"/>
      <c r="B98" s="7"/>
      <c r="C98" s="7"/>
      <c r="D98" s="7"/>
      <c r="E98" s="7"/>
      <c r="F98" s="7"/>
      <c r="G98" s="7"/>
      <c r="H98" s="7"/>
      <c r="I98" s="7"/>
      <c r="J98" s="7"/>
    </row>
    <row r="99" customFormat="false" ht="15" hidden="false" customHeight="true" outlineLevel="0" collapsed="false">
      <c r="A99" s="7"/>
      <c r="B99" s="7"/>
      <c r="C99" s="7"/>
      <c r="D99" s="7"/>
      <c r="E99" s="7"/>
      <c r="F99" s="7"/>
      <c r="G99" s="7"/>
      <c r="H99" s="7"/>
      <c r="I99" s="7"/>
      <c r="J99" s="7"/>
    </row>
    <row r="100" customFormat="false" ht="15" hidden="false" customHeight="true" outlineLevel="0" collapsed="false">
      <c r="A100" s="7"/>
      <c r="B100" s="7"/>
      <c r="C100" s="7"/>
      <c r="D100" s="7"/>
      <c r="E100" s="7"/>
      <c r="F100" s="7"/>
      <c r="G100" s="7"/>
      <c r="H100" s="7"/>
      <c r="I100" s="7"/>
      <c r="J100" s="7"/>
    </row>
    <row r="101" customFormat="false" ht="15" hidden="false" customHeight="true" outlineLevel="0" collapsed="false">
      <c r="A101" s="7"/>
      <c r="B101" s="7"/>
      <c r="C101" s="7"/>
      <c r="D101" s="7"/>
      <c r="E101" s="7"/>
      <c r="F101" s="7"/>
      <c r="G101" s="7"/>
      <c r="H101" s="7"/>
      <c r="I101" s="7"/>
      <c r="J101" s="7"/>
    </row>
    <row r="102" customFormat="false" ht="15" hidden="false" customHeight="true" outlineLevel="0" collapsed="false">
      <c r="A102" s="7"/>
      <c r="B102" s="7"/>
      <c r="C102" s="7"/>
      <c r="D102" s="7"/>
      <c r="E102" s="7"/>
      <c r="F102" s="7"/>
      <c r="G102" s="7"/>
      <c r="H102" s="7"/>
      <c r="I102" s="7"/>
      <c r="J102" s="7"/>
    </row>
    <row r="103" customFormat="false" ht="15" hidden="false" customHeight="true" outlineLevel="0" collapsed="false">
      <c r="A103" s="7"/>
      <c r="B103" s="7"/>
      <c r="C103" s="7"/>
      <c r="D103" s="7"/>
      <c r="E103" s="7"/>
      <c r="F103" s="7"/>
      <c r="G103" s="7"/>
      <c r="H103" s="7"/>
      <c r="I103" s="7"/>
      <c r="J103" s="7"/>
    </row>
    <row r="104" customFormat="false" ht="15" hidden="false" customHeight="true" outlineLevel="0" collapsed="false">
      <c r="A104" s="7"/>
      <c r="B104" s="7"/>
      <c r="C104" s="7"/>
      <c r="D104" s="7"/>
      <c r="E104" s="7"/>
      <c r="F104" s="7"/>
      <c r="G104" s="7"/>
      <c r="H104" s="7"/>
      <c r="I104" s="7"/>
      <c r="J104" s="7"/>
    </row>
    <row r="105" customFormat="false" ht="15" hidden="false" customHeight="true" outlineLevel="0" collapsed="false">
      <c r="A105" s="7"/>
      <c r="B105" s="7"/>
      <c r="C105" s="7"/>
      <c r="D105" s="7"/>
      <c r="E105" s="7"/>
      <c r="F105" s="7"/>
      <c r="G105" s="7"/>
      <c r="H105" s="7"/>
      <c r="I105" s="7"/>
      <c r="J105" s="7"/>
    </row>
    <row r="106" customFormat="false" ht="15" hidden="false" customHeight="true" outlineLevel="0" collapsed="false">
      <c r="A106" s="7"/>
      <c r="B106" s="7"/>
      <c r="C106" s="7"/>
      <c r="D106" s="7"/>
      <c r="E106" s="7"/>
      <c r="F106" s="7"/>
      <c r="G106" s="7"/>
      <c r="H106" s="7"/>
      <c r="I106" s="7"/>
      <c r="J106" s="7"/>
    </row>
    <row r="107" customFormat="false" ht="15" hidden="false" customHeight="true" outlineLevel="0" collapsed="false">
      <c r="A107" s="7"/>
      <c r="B107" s="7"/>
      <c r="C107" s="7"/>
      <c r="D107" s="7"/>
      <c r="E107" s="7"/>
      <c r="F107" s="7"/>
      <c r="G107" s="7"/>
      <c r="H107" s="7"/>
      <c r="I107" s="7"/>
      <c r="J107" s="7"/>
    </row>
    <row r="108" customFormat="false" ht="15" hidden="false" customHeight="true" outlineLevel="0" collapsed="false">
      <c r="A108" s="7"/>
      <c r="B108" s="7"/>
      <c r="C108" s="7"/>
      <c r="D108" s="7"/>
      <c r="E108" s="7"/>
      <c r="F108" s="7"/>
      <c r="G108" s="7"/>
      <c r="H108" s="7"/>
      <c r="I108" s="7"/>
      <c r="J108" s="7"/>
    </row>
    <row r="109" customFormat="false" ht="15" hidden="false" customHeight="true" outlineLevel="0" collapsed="false">
      <c r="A109" s="7"/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5" hidden="false" customHeight="true" outlineLevel="0" collapsed="false">
      <c r="A110" s="7"/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5" hidden="false" customHeight="true" outlineLevel="0" collapsed="false">
      <c r="A111" s="7"/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5" hidden="false" customHeight="true" outlineLevel="0" collapsed="false">
      <c r="A112" s="7"/>
      <c r="B112" s="7"/>
      <c r="C112" s="7"/>
      <c r="D112" s="7"/>
      <c r="E112" s="7"/>
      <c r="F112" s="7"/>
      <c r="G112" s="7"/>
      <c r="H112" s="7"/>
      <c r="I112" s="7"/>
      <c r="J112" s="7"/>
    </row>
    <row r="113" customFormat="false" ht="15" hidden="false" customHeight="true" outlineLevel="0" collapsed="false">
      <c r="A113" s="7"/>
      <c r="B113" s="7"/>
      <c r="C113" s="7"/>
      <c r="D113" s="7"/>
      <c r="E113" s="7"/>
      <c r="F113" s="7"/>
      <c r="G113" s="7"/>
      <c r="H113" s="7"/>
      <c r="I113" s="7"/>
      <c r="J113" s="7"/>
    </row>
    <row r="114" customFormat="false" ht="15" hidden="false" customHeight="true" outlineLevel="0" collapsed="false">
      <c r="A114" s="7"/>
      <c r="B114" s="7"/>
      <c r="C114" s="7"/>
      <c r="D114" s="7"/>
      <c r="E114" s="7"/>
      <c r="F114" s="7"/>
      <c r="G114" s="7"/>
      <c r="H114" s="7"/>
      <c r="I114" s="7"/>
      <c r="J114" s="7"/>
    </row>
    <row r="115" customFormat="false" ht="15" hidden="false" customHeight="true" outlineLevel="0" collapsed="false">
      <c r="A115" s="7"/>
      <c r="B115" s="7"/>
      <c r="C115" s="7"/>
      <c r="D115" s="7"/>
      <c r="E115" s="7"/>
      <c r="F115" s="7"/>
      <c r="G115" s="7"/>
      <c r="H115" s="7"/>
      <c r="I115" s="7"/>
      <c r="J115" s="7"/>
    </row>
    <row r="116" customFormat="false" ht="15" hidden="false" customHeight="true" outlineLevel="0" collapsed="false">
      <c r="A116" s="7"/>
      <c r="B116" s="7"/>
      <c r="C116" s="7"/>
      <c r="D116" s="7"/>
      <c r="E116" s="7"/>
      <c r="F116" s="7"/>
      <c r="G116" s="7"/>
      <c r="H116" s="7"/>
      <c r="I116" s="7"/>
      <c r="J116" s="7"/>
    </row>
    <row r="117" customFormat="false" ht="15" hidden="false" customHeight="true" outlineLevel="0" collapsed="false">
      <c r="A117" s="7"/>
      <c r="B117" s="7"/>
      <c r="C117" s="7"/>
      <c r="D117" s="7"/>
      <c r="E117" s="7"/>
      <c r="F117" s="7"/>
      <c r="G117" s="7"/>
      <c r="H117" s="7"/>
      <c r="I117" s="7"/>
      <c r="J117" s="7"/>
    </row>
    <row r="118" customFormat="false" ht="15" hidden="false" customHeight="true" outlineLevel="0" collapsed="false">
      <c r="A118" s="7"/>
      <c r="B118" s="7"/>
      <c r="C118" s="7"/>
      <c r="D118" s="7"/>
      <c r="E118" s="7"/>
      <c r="F118" s="7"/>
      <c r="G118" s="7"/>
      <c r="H118" s="7"/>
      <c r="I118" s="7"/>
      <c r="J118" s="7"/>
    </row>
    <row r="119" customFormat="false" ht="15" hidden="false" customHeight="true" outlineLevel="0" collapsed="false">
      <c r="A119" s="7"/>
      <c r="B119" s="7"/>
      <c r="C119" s="7"/>
      <c r="D119" s="7"/>
      <c r="E119" s="7"/>
      <c r="F119" s="7"/>
      <c r="G119" s="7"/>
      <c r="H119" s="7"/>
      <c r="I119" s="7"/>
      <c r="J119" s="7"/>
    </row>
    <row r="120" customFormat="false" ht="15" hidden="false" customHeight="true" outlineLevel="0" collapsed="false">
      <c r="A120" s="7"/>
      <c r="B120" s="7"/>
      <c r="C120" s="7"/>
      <c r="D120" s="7"/>
      <c r="E120" s="7"/>
      <c r="F120" s="7"/>
      <c r="G120" s="7"/>
      <c r="H120" s="7"/>
      <c r="I120" s="7"/>
      <c r="J120" s="7"/>
    </row>
    <row r="121" customFormat="false" ht="15" hidden="false" customHeight="true" outlineLevel="0" collapsed="false">
      <c r="A121" s="7"/>
      <c r="B121" s="7"/>
      <c r="C121" s="7"/>
      <c r="D121" s="7"/>
      <c r="E121" s="7"/>
      <c r="F121" s="7"/>
      <c r="G121" s="7"/>
      <c r="H121" s="7"/>
      <c r="I121" s="7"/>
      <c r="J121" s="7"/>
    </row>
    <row r="122" customFormat="false" ht="15" hidden="false" customHeight="true" outlineLevel="0" collapsed="false">
      <c r="A122" s="7"/>
      <c r="B122" s="7"/>
      <c r="C122" s="7"/>
      <c r="D122" s="7"/>
      <c r="E122" s="7"/>
      <c r="F122" s="7"/>
      <c r="G122" s="7"/>
      <c r="H122" s="7"/>
      <c r="I122" s="7"/>
      <c r="J122" s="7"/>
    </row>
    <row r="123" customFormat="false" ht="15" hidden="false" customHeight="true" outlineLevel="0" collapsed="false">
      <c r="A123" s="7"/>
      <c r="B123" s="7"/>
      <c r="C123" s="7"/>
      <c r="D123" s="7"/>
      <c r="E123" s="7"/>
      <c r="F123" s="7"/>
      <c r="G123" s="7"/>
      <c r="H123" s="7"/>
      <c r="I123" s="7"/>
      <c r="J123" s="7"/>
    </row>
    <row r="124" customFormat="false" ht="15" hidden="false" customHeight="true" outlineLevel="0" collapsed="false">
      <c r="A124" s="7"/>
      <c r="B124" s="7"/>
      <c r="C124" s="7"/>
      <c r="D124" s="7"/>
      <c r="E124" s="7"/>
      <c r="F124" s="7"/>
      <c r="G124" s="7"/>
      <c r="H124" s="7"/>
      <c r="I124" s="7"/>
      <c r="J124" s="7"/>
    </row>
    <row r="125" customFormat="false" ht="15" hidden="false" customHeight="true" outlineLevel="0" collapsed="false">
      <c r="A125" s="7"/>
      <c r="B125" s="7"/>
      <c r="C125" s="7"/>
      <c r="D125" s="7"/>
      <c r="E125" s="7"/>
      <c r="F125" s="7"/>
      <c r="G125" s="7"/>
      <c r="H125" s="7"/>
      <c r="I125" s="7"/>
      <c r="J125" s="7"/>
    </row>
    <row r="126" customFormat="false" ht="15" hidden="false" customHeight="true" outlineLevel="0" collapsed="false">
      <c r="A126" s="7"/>
      <c r="B126" s="7"/>
      <c r="C126" s="7"/>
      <c r="D126" s="7"/>
      <c r="E126" s="7"/>
      <c r="F126" s="7"/>
      <c r="G126" s="7"/>
      <c r="H126" s="7"/>
      <c r="I126" s="7"/>
      <c r="J126" s="7"/>
    </row>
    <row r="127" customFormat="false" ht="15" hidden="false" customHeight="true" outlineLevel="0" collapsed="false">
      <c r="A127" s="7"/>
      <c r="B127" s="7"/>
      <c r="C127" s="7"/>
      <c r="D127" s="7"/>
      <c r="E127" s="7"/>
      <c r="F127" s="7"/>
      <c r="G127" s="7"/>
      <c r="H127" s="7"/>
      <c r="I127" s="7"/>
      <c r="J127" s="7"/>
    </row>
    <row r="128" customFormat="false" ht="15" hidden="false" customHeight="true" outlineLevel="0" collapsed="false">
      <c r="A128" s="7"/>
      <c r="B128" s="7"/>
      <c r="C128" s="7"/>
      <c r="D128" s="7"/>
      <c r="E128" s="7"/>
      <c r="F128" s="7"/>
      <c r="G128" s="7"/>
      <c r="H128" s="7"/>
      <c r="I128" s="7"/>
      <c r="J128" s="7"/>
    </row>
    <row r="129" customFormat="false" ht="15" hidden="false" customHeight="true" outlineLevel="0" collapsed="false">
      <c r="A129" s="7"/>
      <c r="B129" s="7"/>
      <c r="C129" s="7"/>
      <c r="D129" s="7"/>
      <c r="E129" s="7"/>
      <c r="F129" s="7"/>
      <c r="G129" s="7"/>
      <c r="H129" s="7"/>
      <c r="I129" s="7"/>
      <c r="J129" s="7"/>
    </row>
    <row r="130" customFormat="false" ht="15" hidden="false" customHeight="true" outlineLevel="0" collapsed="false">
      <c r="A130" s="7"/>
      <c r="B130" s="7"/>
      <c r="C130" s="7"/>
      <c r="D130" s="7"/>
      <c r="E130" s="7"/>
      <c r="F130" s="7"/>
      <c r="G130" s="7"/>
      <c r="H130" s="7"/>
      <c r="I130" s="7"/>
      <c r="J130" s="7"/>
    </row>
    <row r="131" customFormat="false" ht="15" hidden="false" customHeight="true" outlineLevel="0" collapsed="false">
      <c r="A131" s="7"/>
      <c r="B131" s="7"/>
      <c r="C131" s="7"/>
      <c r="D131" s="7"/>
      <c r="E131" s="7"/>
      <c r="F131" s="7"/>
      <c r="G131" s="7"/>
      <c r="H131" s="7"/>
      <c r="I131" s="7"/>
      <c r="J131" s="7"/>
    </row>
    <row r="132" customFormat="false" ht="15" hidden="false" customHeight="true" outlineLevel="0" collapsed="false">
      <c r="A132" s="7"/>
      <c r="B132" s="7"/>
      <c r="C132" s="7"/>
      <c r="D132" s="7"/>
      <c r="E132" s="7"/>
      <c r="F132" s="7"/>
      <c r="G132" s="7"/>
      <c r="H132" s="7"/>
      <c r="I132" s="7"/>
      <c r="J132" s="7"/>
    </row>
    <row r="133" customFormat="false" ht="15" hidden="false" customHeight="true" outlineLevel="0" collapsed="false">
      <c r="A133" s="7"/>
      <c r="B133" s="7"/>
      <c r="C133" s="7"/>
      <c r="D133" s="7"/>
      <c r="E133" s="7"/>
      <c r="F133" s="7"/>
      <c r="G133" s="7"/>
      <c r="H133" s="7"/>
      <c r="I133" s="7"/>
      <c r="J133" s="7"/>
    </row>
    <row r="134" customFormat="false" ht="15" hidden="false" customHeight="true" outlineLevel="0" collapsed="false">
      <c r="A134" s="7"/>
      <c r="B134" s="7"/>
      <c r="C134" s="7"/>
      <c r="D134" s="7"/>
      <c r="E134" s="7"/>
      <c r="F134" s="7"/>
      <c r="G134" s="7"/>
      <c r="H134" s="7"/>
      <c r="I134" s="7"/>
      <c r="J134" s="7"/>
    </row>
    <row r="135" customFormat="false" ht="15" hidden="false" customHeight="true" outlineLevel="0" collapsed="false">
      <c r="A135" s="7"/>
      <c r="B135" s="7"/>
      <c r="C135" s="7"/>
      <c r="D135" s="7"/>
      <c r="E135" s="7"/>
      <c r="F135" s="7"/>
      <c r="G135" s="7"/>
      <c r="H135" s="7"/>
      <c r="I135" s="7"/>
      <c r="J135" s="7"/>
    </row>
    <row r="136" customFormat="false" ht="15" hidden="false" customHeight="true" outlineLevel="0" collapsed="false">
      <c r="A136" s="7"/>
      <c r="B136" s="7"/>
      <c r="C136" s="7"/>
      <c r="D136" s="7"/>
      <c r="E136" s="7"/>
      <c r="F136" s="7"/>
      <c r="G136" s="7"/>
      <c r="H136" s="7"/>
      <c r="I136" s="7"/>
      <c r="J136" s="7"/>
    </row>
    <row r="137" customFormat="false" ht="15" hidden="false" customHeight="true" outlineLevel="0" collapsed="false">
      <c r="A137" s="7"/>
      <c r="B137" s="7"/>
      <c r="C137" s="7"/>
      <c r="D137" s="7"/>
      <c r="E137" s="7"/>
      <c r="F137" s="7"/>
      <c r="G137" s="7"/>
      <c r="H137" s="7"/>
      <c r="I137" s="7"/>
      <c r="J137" s="7"/>
    </row>
    <row r="138" customFormat="false" ht="15" hidden="false" customHeight="true" outlineLevel="0" collapsed="false">
      <c r="A138" s="7"/>
      <c r="B138" s="7"/>
      <c r="C138" s="7"/>
      <c r="D138" s="7"/>
      <c r="E138" s="7"/>
      <c r="F138" s="7"/>
      <c r="G138" s="7"/>
      <c r="H138" s="7"/>
      <c r="I138" s="7"/>
      <c r="J138" s="7"/>
    </row>
    <row r="139" customFormat="false" ht="15" hidden="false" customHeight="true" outlineLevel="0" collapsed="false">
      <c r="A139" s="7"/>
      <c r="B139" s="7"/>
      <c r="C139" s="7"/>
      <c r="D139" s="7"/>
      <c r="E139" s="7"/>
      <c r="F139" s="7"/>
      <c r="G139" s="7"/>
      <c r="H139" s="7"/>
      <c r="I139" s="7"/>
      <c r="J139" s="7"/>
    </row>
    <row r="140" customFormat="false" ht="15" hidden="false" customHeight="true" outlineLevel="0" collapsed="false">
      <c r="A140" s="7"/>
      <c r="B140" s="7"/>
      <c r="C140" s="7"/>
      <c r="D140" s="7"/>
      <c r="E140" s="7"/>
      <c r="F140" s="7"/>
      <c r="G140" s="7"/>
      <c r="H140" s="7"/>
      <c r="I140" s="7"/>
      <c r="J140" s="7"/>
    </row>
    <row r="141" customFormat="false" ht="15" hidden="false" customHeight="true" outlineLevel="0" collapsed="false">
      <c r="A141" s="7"/>
      <c r="B141" s="7"/>
      <c r="C141" s="7"/>
      <c r="D141" s="7"/>
      <c r="E141" s="7"/>
      <c r="F141" s="7"/>
      <c r="G141" s="7"/>
      <c r="H141" s="7"/>
      <c r="I141" s="7"/>
      <c r="J141" s="7"/>
    </row>
    <row r="142" customFormat="false" ht="15" hidden="false" customHeight="true" outlineLevel="0" collapsed="false">
      <c r="A142" s="7"/>
      <c r="B142" s="7"/>
      <c r="C142" s="7"/>
      <c r="D142" s="7"/>
      <c r="E142" s="7"/>
      <c r="F142" s="7"/>
      <c r="G142" s="7"/>
      <c r="H142" s="7"/>
      <c r="I142" s="7"/>
      <c r="J142" s="7"/>
    </row>
    <row r="143" customFormat="false" ht="15" hidden="false" customHeight="true" outlineLevel="0" collapsed="false">
      <c r="A143" s="7"/>
      <c r="B143" s="7"/>
      <c r="C143" s="7"/>
      <c r="D143" s="7"/>
      <c r="E143" s="7"/>
      <c r="F143" s="7"/>
      <c r="G143" s="7"/>
      <c r="H143" s="7"/>
      <c r="I143" s="7"/>
      <c r="J143" s="7"/>
    </row>
    <row r="144" customFormat="false" ht="15" hidden="false" customHeight="true" outlineLevel="0" collapsed="false">
      <c r="A144" s="7"/>
      <c r="B144" s="7"/>
      <c r="C144" s="7"/>
      <c r="D144" s="7"/>
      <c r="E144" s="7"/>
      <c r="F144" s="7"/>
      <c r="G144" s="7"/>
      <c r="H144" s="7"/>
      <c r="I144" s="7"/>
      <c r="J144" s="7"/>
    </row>
    <row r="145" customFormat="false" ht="15" hidden="false" customHeight="true" outlineLevel="0" collapsed="false">
      <c r="A145" s="7"/>
      <c r="B145" s="7"/>
      <c r="C145" s="7"/>
      <c r="D145" s="7"/>
      <c r="E145" s="7"/>
      <c r="F145" s="7"/>
      <c r="G145" s="7"/>
      <c r="H145" s="7"/>
      <c r="I145" s="7"/>
      <c r="J145" s="7"/>
    </row>
    <row r="146" customFormat="false" ht="15" hidden="false" customHeight="true" outlineLevel="0" collapsed="false">
      <c r="A146" s="7"/>
      <c r="B146" s="7"/>
      <c r="C146" s="7"/>
      <c r="D146" s="7"/>
      <c r="E146" s="7"/>
      <c r="F146" s="7"/>
      <c r="G146" s="7"/>
      <c r="H146" s="7"/>
      <c r="I146" s="7"/>
      <c r="J146" s="7"/>
    </row>
    <row r="147" customFormat="false" ht="15" hidden="false" customHeight="true" outlineLevel="0" collapsed="false">
      <c r="A147" s="7"/>
      <c r="B147" s="7"/>
      <c r="C147" s="7"/>
      <c r="D147" s="7"/>
      <c r="E147" s="7"/>
      <c r="F147" s="7"/>
      <c r="G147" s="7"/>
      <c r="H147" s="7"/>
      <c r="I147" s="7"/>
      <c r="J147" s="7"/>
    </row>
    <row r="148" customFormat="false" ht="15" hidden="false" customHeight="true" outlineLevel="0" collapsed="false">
      <c r="A148" s="7"/>
      <c r="B148" s="7"/>
      <c r="C148" s="7"/>
      <c r="D148" s="7"/>
      <c r="E148" s="7"/>
      <c r="F148" s="7"/>
      <c r="G148" s="7"/>
      <c r="H148" s="7"/>
      <c r="I148" s="7"/>
      <c r="J148" s="7"/>
    </row>
    <row r="149" customFormat="false" ht="15" hidden="false" customHeight="true" outlineLevel="0" collapsed="false">
      <c r="A149" s="7"/>
      <c r="B149" s="7"/>
      <c r="C149" s="7"/>
      <c r="D149" s="7"/>
      <c r="E149" s="7"/>
      <c r="F149" s="7"/>
      <c r="G149" s="7"/>
      <c r="H149" s="7"/>
      <c r="I149" s="7"/>
      <c r="J149" s="7"/>
    </row>
    <row r="150" customFormat="false" ht="15" hidden="false" customHeight="true" outlineLevel="0" collapsed="false">
      <c r="A150" s="7"/>
      <c r="B150" s="7"/>
      <c r="C150" s="7"/>
      <c r="D150" s="7"/>
      <c r="E150" s="7"/>
      <c r="F150" s="7"/>
      <c r="G150" s="7"/>
      <c r="H150" s="7"/>
      <c r="I150" s="7"/>
      <c r="J150" s="7"/>
    </row>
    <row r="151" customFormat="false" ht="15" hidden="false" customHeight="true" outlineLevel="0" collapsed="false">
      <c r="A151" s="7"/>
      <c r="B151" s="7"/>
      <c r="C151" s="7"/>
      <c r="D151" s="7"/>
      <c r="E151" s="7"/>
      <c r="F151" s="7"/>
      <c r="G151" s="7"/>
      <c r="H151" s="7"/>
      <c r="I151" s="7"/>
      <c r="J151" s="7"/>
    </row>
    <row r="152" customFormat="false" ht="15" hidden="false" customHeight="true" outlineLevel="0" collapsed="false">
      <c r="A152" s="7"/>
      <c r="B152" s="7"/>
      <c r="C152" s="7"/>
      <c r="D152" s="7"/>
      <c r="E152" s="7"/>
      <c r="F152" s="7"/>
      <c r="G152" s="7"/>
      <c r="H152" s="7"/>
      <c r="I152" s="7"/>
      <c r="J152" s="7"/>
    </row>
    <row r="153" customFormat="false" ht="15" hidden="false" customHeight="true" outlineLevel="0" collapsed="false">
      <c r="A153" s="7"/>
      <c r="B153" s="7"/>
      <c r="C153" s="7"/>
      <c r="D153" s="7"/>
      <c r="E153" s="7"/>
      <c r="F153" s="7"/>
      <c r="G153" s="7"/>
      <c r="H153" s="7"/>
      <c r="I153" s="7"/>
      <c r="J153" s="7"/>
    </row>
    <row r="154" customFormat="false" ht="15" hidden="false" customHeight="true" outlineLevel="0" collapsed="false">
      <c r="A154" s="7"/>
      <c r="B154" s="7"/>
      <c r="C154" s="7"/>
      <c r="D154" s="7"/>
      <c r="E154" s="7"/>
      <c r="F154" s="7"/>
      <c r="G154" s="7"/>
      <c r="H154" s="7"/>
      <c r="I154" s="7"/>
      <c r="J154" s="7"/>
    </row>
    <row r="155" customFormat="false" ht="15" hidden="false" customHeight="true" outlineLevel="0" collapsed="false">
      <c r="A155" s="7"/>
      <c r="B155" s="7"/>
      <c r="C155" s="7"/>
      <c r="D155" s="7"/>
      <c r="E155" s="7"/>
      <c r="F155" s="7"/>
      <c r="G155" s="7"/>
      <c r="H155" s="7"/>
      <c r="I155" s="7"/>
      <c r="J155" s="7"/>
    </row>
    <row r="156" customFormat="false" ht="15" hidden="false" customHeight="true" outlineLevel="0" collapsed="false">
      <c r="A156" s="7"/>
      <c r="B156" s="7"/>
      <c r="C156" s="7"/>
      <c r="D156" s="7"/>
      <c r="E156" s="7"/>
      <c r="F156" s="7"/>
      <c r="G156" s="7"/>
      <c r="H156" s="7"/>
      <c r="I156" s="7"/>
      <c r="J156" s="7"/>
    </row>
    <row r="157" customFormat="false" ht="15" hidden="false" customHeight="true" outlineLevel="0" collapsed="false">
      <c r="A157" s="7"/>
      <c r="B157" s="7"/>
      <c r="C157" s="7"/>
      <c r="D157" s="7"/>
      <c r="E157" s="7"/>
      <c r="F157" s="7"/>
      <c r="G157" s="7"/>
      <c r="H157" s="7"/>
      <c r="I157" s="7"/>
      <c r="J157" s="7"/>
    </row>
    <row r="158" customFormat="false" ht="15" hidden="false" customHeight="true" outlineLevel="0" collapsed="false">
      <c r="A158" s="7"/>
      <c r="B158" s="7"/>
      <c r="C158" s="7"/>
      <c r="D158" s="7"/>
      <c r="E158" s="7"/>
      <c r="F158" s="7"/>
      <c r="G158" s="7"/>
      <c r="H158" s="7"/>
      <c r="I158" s="7"/>
      <c r="J158" s="7"/>
    </row>
    <row r="159" customFormat="false" ht="15" hidden="false" customHeight="true" outlineLevel="0" collapsed="false">
      <c r="A159" s="7"/>
      <c r="B159" s="7"/>
      <c r="C159" s="7"/>
      <c r="D159" s="7"/>
      <c r="E159" s="7"/>
      <c r="F159" s="7"/>
      <c r="G159" s="7"/>
      <c r="H159" s="7"/>
      <c r="I159" s="7"/>
      <c r="J159" s="7"/>
    </row>
    <row r="160" customFormat="false" ht="15" hidden="false" customHeight="true" outlineLevel="0" collapsed="false">
      <c r="A160" s="7"/>
      <c r="B160" s="7"/>
      <c r="C160" s="7"/>
      <c r="D160" s="7"/>
      <c r="E160" s="7"/>
      <c r="F160" s="7"/>
      <c r="G160" s="7"/>
      <c r="H160" s="7"/>
      <c r="I160" s="7"/>
      <c r="J160" s="7"/>
    </row>
    <row r="161" customFormat="false" ht="15" hidden="false" customHeight="true" outlineLevel="0" collapsed="false">
      <c r="A161" s="7"/>
      <c r="B161" s="7"/>
      <c r="C161" s="7"/>
      <c r="D161" s="7"/>
      <c r="E161" s="7"/>
      <c r="F161" s="7"/>
      <c r="G161" s="7"/>
      <c r="H161" s="7"/>
      <c r="I161" s="7"/>
      <c r="J161" s="7"/>
    </row>
    <row r="162" customFormat="false" ht="15" hidden="false" customHeight="true" outlineLevel="0" collapsed="false">
      <c r="A162" s="7"/>
      <c r="B162" s="7"/>
      <c r="C162" s="7"/>
      <c r="D162" s="7"/>
      <c r="E162" s="7"/>
      <c r="F162" s="7"/>
      <c r="G162" s="7"/>
      <c r="H162" s="7"/>
      <c r="I162" s="7"/>
      <c r="J162" s="7"/>
    </row>
    <row r="163" customFormat="false" ht="15" hidden="false" customHeight="true" outlineLevel="0" collapsed="false">
      <c r="A163" s="7"/>
      <c r="B163" s="7"/>
      <c r="C163" s="7"/>
      <c r="D163" s="7"/>
      <c r="E163" s="7"/>
      <c r="F163" s="7"/>
      <c r="G163" s="7"/>
      <c r="H163" s="7"/>
      <c r="I163" s="7"/>
      <c r="J163" s="7"/>
    </row>
    <row r="164" customFormat="false" ht="15" hidden="false" customHeight="true" outlineLevel="0" collapsed="false">
      <c r="A164" s="7"/>
      <c r="B164" s="7"/>
      <c r="C164" s="7"/>
      <c r="D164" s="7"/>
      <c r="E164" s="7"/>
      <c r="F164" s="7"/>
      <c r="G164" s="7"/>
      <c r="H164" s="7"/>
      <c r="I164" s="7"/>
      <c r="J164" s="7"/>
    </row>
    <row r="165" customFormat="false" ht="15" hidden="false" customHeight="true" outlineLevel="0" collapsed="false">
      <c r="A165" s="7"/>
      <c r="B165" s="7"/>
      <c r="C165" s="7"/>
      <c r="D165" s="7"/>
      <c r="E165" s="7"/>
      <c r="F165" s="7"/>
      <c r="G165" s="7"/>
      <c r="H165" s="7"/>
      <c r="I165" s="7"/>
      <c r="J165" s="7"/>
    </row>
    <row r="166" customFormat="false" ht="15" hidden="false" customHeight="true" outlineLevel="0" collapsed="false">
      <c r="A166" s="7"/>
      <c r="B166" s="7"/>
      <c r="C166" s="7"/>
      <c r="D166" s="7"/>
      <c r="E166" s="7"/>
      <c r="F166" s="7"/>
      <c r="G166" s="7"/>
      <c r="H166" s="7"/>
      <c r="I166" s="7"/>
      <c r="J166" s="7"/>
    </row>
    <row r="167" customFormat="false" ht="15" hidden="false" customHeight="true" outlineLevel="0" collapsed="false">
      <c r="A167" s="7"/>
      <c r="B167" s="7"/>
      <c r="C167" s="7"/>
      <c r="D167" s="7"/>
      <c r="E167" s="7"/>
      <c r="F167" s="7"/>
      <c r="G167" s="7"/>
      <c r="H167" s="7"/>
      <c r="I167" s="7"/>
      <c r="J167" s="7"/>
    </row>
    <row r="168" customFormat="false" ht="15" hidden="false" customHeight="true" outlineLevel="0" collapsed="false">
      <c r="A168" s="7"/>
      <c r="B168" s="7"/>
      <c r="C168" s="7"/>
      <c r="D168" s="7"/>
      <c r="E168" s="7"/>
      <c r="F168" s="7"/>
      <c r="G168" s="7"/>
      <c r="H168" s="7"/>
      <c r="I168" s="7"/>
      <c r="J168" s="7"/>
    </row>
    <row r="169" customFormat="false" ht="15" hidden="false" customHeight="true" outlineLevel="0" collapsed="false">
      <c r="A169" s="7"/>
      <c r="B169" s="7"/>
      <c r="C169" s="7"/>
      <c r="D169" s="7"/>
      <c r="E169" s="7"/>
      <c r="F169" s="7"/>
      <c r="G169" s="7"/>
      <c r="H169" s="7"/>
      <c r="I169" s="7"/>
      <c r="J169" s="7"/>
    </row>
    <row r="170" customFormat="false" ht="15" hidden="false" customHeight="true" outlineLevel="0" collapsed="false">
      <c r="A170" s="7"/>
      <c r="B170" s="7"/>
      <c r="C170" s="7"/>
      <c r="D170" s="7"/>
      <c r="E170" s="7"/>
      <c r="F170" s="7"/>
      <c r="G170" s="7"/>
      <c r="H170" s="7"/>
      <c r="I170" s="7"/>
      <c r="J170" s="7"/>
    </row>
    <row r="171" customFormat="false" ht="15" hidden="false" customHeight="true" outlineLevel="0" collapsed="false">
      <c r="A171" s="7"/>
      <c r="B171" s="7"/>
      <c r="C171" s="7"/>
      <c r="D171" s="7"/>
      <c r="E171" s="7"/>
      <c r="F171" s="7"/>
      <c r="G171" s="7"/>
      <c r="H171" s="7"/>
      <c r="I171" s="7"/>
      <c r="J171" s="7"/>
    </row>
    <row r="172" customFormat="false" ht="15" hidden="false" customHeight="true" outlineLevel="0" collapsed="false">
      <c r="A172" s="7"/>
      <c r="B172" s="7"/>
      <c r="C172" s="7"/>
      <c r="D172" s="7"/>
      <c r="E172" s="7"/>
      <c r="F172" s="7"/>
      <c r="G172" s="7"/>
      <c r="H172" s="7"/>
      <c r="I172" s="7"/>
      <c r="J172" s="7"/>
    </row>
    <row r="173" customFormat="false" ht="15" hidden="false" customHeight="true" outlineLevel="0" collapsed="false">
      <c r="A173" s="7"/>
      <c r="B173" s="7"/>
      <c r="C173" s="7"/>
      <c r="D173" s="7"/>
      <c r="E173" s="7"/>
      <c r="F173" s="7"/>
      <c r="G173" s="7"/>
      <c r="H173" s="7"/>
      <c r="I173" s="7"/>
      <c r="J173" s="7"/>
    </row>
    <row r="174" customFormat="false" ht="15" hidden="false" customHeight="true" outlineLevel="0" collapsed="false">
      <c r="A174" s="7"/>
      <c r="B174" s="7"/>
      <c r="C174" s="7"/>
      <c r="D174" s="7"/>
      <c r="E174" s="7"/>
      <c r="F174" s="7"/>
      <c r="G174" s="7"/>
      <c r="H174" s="7"/>
      <c r="I174" s="7"/>
      <c r="J174" s="7"/>
    </row>
    <row r="175" customFormat="false" ht="15" hidden="false" customHeight="true" outlineLevel="0" collapsed="false">
      <c r="A175" s="7"/>
      <c r="B175" s="7"/>
      <c r="C175" s="7"/>
      <c r="D175" s="7"/>
      <c r="E175" s="7"/>
      <c r="F175" s="7"/>
      <c r="G175" s="7"/>
      <c r="H175" s="7"/>
      <c r="I175" s="7"/>
      <c r="J175" s="7"/>
    </row>
    <row r="176" customFormat="false" ht="15" hidden="false" customHeight="true" outlineLevel="0" collapsed="false">
      <c r="A176" s="7"/>
      <c r="B176" s="7"/>
      <c r="C176" s="7"/>
      <c r="D176" s="7"/>
      <c r="E176" s="7"/>
      <c r="F176" s="7"/>
      <c r="G176" s="7"/>
      <c r="H176" s="7"/>
      <c r="I176" s="7"/>
      <c r="J176" s="7"/>
    </row>
    <row r="177" customFormat="false" ht="15" hidden="false" customHeight="true" outlineLevel="0" collapsed="false">
      <c r="A177" s="7"/>
      <c r="B177" s="7"/>
      <c r="C177" s="7"/>
      <c r="D177" s="7"/>
      <c r="E177" s="7"/>
      <c r="F177" s="7"/>
      <c r="G177" s="7"/>
      <c r="H177" s="7"/>
      <c r="I177" s="7"/>
      <c r="J177" s="7"/>
    </row>
    <row r="178" customFormat="false" ht="15" hidden="false" customHeight="true" outlineLevel="0" collapsed="false">
      <c r="A178" s="7"/>
      <c r="B178" s="7"/>
      <c r="C178" s="7"/>
      <c r="D178" s="7"/>
      <c r="E178" s="7"/>
      <c r="F178" s="7"/>
      <c r="G178" s="7"/>
      <c r="H178" s="7"/>
      <c r="I178" s="7"/>
      <c r="J178" s="7"/>
    </row>
    <row r="179" customFormat="false" ht="15" hidden="false" customHeight="true" outlineLevel="0" collapsed="false">
      <c r="A179" s="7"/>
      <c r="B179" s="7"/>
      <c r="C179" s="7"/>
      <c r="D179" s="7"/>
      <c r="E179" s="7"/>
      <c r="F179" s="7"/>
      <c r="G179" s="7"/>
      <c r="H179" s="7"/>
      <c r="I179" s="7"/>
      <c r="J179" s="7"/>
    </row>
    <row r="180" customFormat="false" ht="15" hidden="false" customHeight="true" outlineLevel="0" collapsed="false">
      <c r="A180" s="7"/>
      <c r="B180" s="7"/>
      <c r="C180" s="7"/>
      <c r="D180" s="7"/>
      <c r="E180" s="7"/>
      <c r="F180" s="7"/>
      <c r="G180" s="7"/>
      <c r="H180" s="7"/>
      <c r="I180" s="7"/>
      <c r="J180" s="7"/>
    </row>
    <row r="181" customFormat="false" ht="15" hidden="false" customHeight="true" outlineLevel="0" collapsed="false">
      <c r="A181" s="7"/>
      <c r="B181" s="7"/>
      <c r="C181" s="7"/>
      <c r="D181" s="7"/>
      <c r="E181" s="7"/>
      <c r="F181" s="7"/>
      <c r="G181" s="7"/>
      <c r="H181" s="7"/>
      <c r="I181" s="7"/>
      <c r="J181" s="7"/>
    </row>
    <row r="182" customFormat="false" ht="15" hidden="false" customHeight="true" outlineLevel="0" collapsed="false">
      <c r="A182" s="7"/>
      <c r="B182" s="7"/>
      <c r="C182" s="7"/>
      <c r="D182" s="7"/>
      <c r="E182" s="7"/>
      <c r="F182" s="7"/>
      <c r="G182" s="7"/>
      <c r="H182" s="7"/>
      <c r="I182" s="7"/>
      <c r="J182" s="7"/>
    </row>
    <row r="183" customFormat="false" ht="15" hidden="false" customHeight="true" outlineLevel="0" collapsed="false">
      <c r="A183" s="7"/>
      <c r="B183" s="7"/>
      <c r="C183" s="7"/>
      <c r="D183" s="7"/>
      <c r="E183" s="7"/>
      <c r="F183" s="7"/>
      <c r="G183" s="7"/>
      <c r="H183" s="7"/>
      <c r="I183" s="7"/>
      <c r="J183" s="7"/>
    </row>
    <row r="184" customFormat="false" ht="15" hidden="false" customHeight="true" outlineLevel="0" collapsed="false">
      <c r="A184" s="7"/>
      <c r="B184" s="7"/>
      <c r="C184" s="7"/>
      <c r="D184" s="7"/>
      <c r="E184" s="7"/>
      <c r="F184" s="7"/>
      <c r="G184" s="7"/>
      <c r="H184" s="7"/>
      <c r="I184" s="7"/>
      <c r="J184" s="7"/>
    </row>
    <row r="185" customFormat="false" ht="15" hidden="false" customHeight="true" outlineLevel="0" collapsed="false">
      <c r="A185" s="7"/>
      <c r="B185" s="7"/>
      <c r="C185" s="7"/>
      <c r="D185" s="7"/>
      <c r="E185" s="7"/>
      <c r="F185" s="7"/>
      <c r="G185" s="7"/>
      <c r="H185" s="7"/>
      <c r="I185" s="7"/>
      <c r="J185" s="7"/>
    </row>
    <row r="186" customFormat="false" ht="15" hidden="false" customHeight="true" outlineLevel="0" collapsed="false">
      <c r="A186" s="7"/>
      <c r="B186" s="7"/>
      <c r="C186" s="7"/>
      <c r="D186" s="7"/>
      <c r="E186" s="7"/>
      <c r="F186" s="7"/>
      <c r="G186" s="7"/>
      <c r="H186" s="7"/>
      <c r="I186" s="7"/>
      <c r="J186" s="7"/>
    </row>
    <row r="187" customFormat="false" ht="15" hidden="false" customHeight="true" outlineLevel="0" collapsed="false">
      <c r="A187" s="7"/>
      <c r="B187" s="7"/>
      <c r="C187" s="7"/>
      <c r="D187" s="7"/>
      <c r="E187" s="7"/>
      <c r="F187" s="7"/>
      <c r="G187" s="7"/>
      <c r="H187" s="7"/>
      <c r="I187" s="7"/>
      <c r="J187" s="7"/>
    </row>
    <row r="188" customFormat="false" ht="15" hidden="false" customHeight="true" outlineLevel="0" collapsed="false">
      <c r="A188" s="7"/>
      <c r="B188" s="7"/>
      <c r="C188" s="7"/>
      <c r="D188" s="7"/>
      <c r="E188" s="7"/>
      <c r="F188" s="7"/>
      <c r="G188" s="7"/>
      <c r="H188" s="7"/>
      <c r="I188" s="7"/>
      <c r="J188" s="7"/>
    </row>
    <row r="189" customFormat="false" ht="15" hidden="false" customHeight="true" outlineLevel="0" collapsed="false">
      <c r="A189" s="7"/>
      <c r="B189" s="7"/>
      <c r="C189" s="7"/>
      <c r="D189" s="7"/>
      <c r="E189" s="7"/>
      <c r="F189" s="7"/>
      <c r="G189" s="7"/>
      <c r="H189" s="7"/>
      <c r="I189" s="7"/>
      <c r="J189" s="7"/>
    </row>
    <row r="190" customFormat="false" ht="15" hidden="false" customHeight="true" outlineLevel="0" collapsed="false">
      <c r="A190" s="7"/>
      <c r="B190" s="7"/>
      <c r="C190" s="7"/>
      <c r="D190" s="7"/>
      <c r="E190" s="7"/>
      <c r="F190" s="7"/>
      <c r="G190" s="7"/>
      <c r="H190" s="7"/>
      <c r="I190" s="7"/>
      <c r="J190" s="7"/>
    </row>
    <row r="191" customFormat="false" ht="15" hidden="false" customHeight="true" outlineLevel="0" collapsed="false">
      <c r="A191" s="7"/>
      <c r="B191" s="7"/>
      <c r="C191" s="7"/>
      <c r="D191" s="7"/>
      <c r="E191" s="7"/>
      <c r="F191" s="7"/>
      <c r="G191" s="7"/>
      <c r="H191" s="7"/>
      <c r="I191" s="7"/>
      <c r="J191" s="7"/>
    </row>
    <row r="192" customFormat="false" ht="15" hidden="false" customHeight="true" outlineLevel="0" collapsed="false">
      <c r="A192" s="7"/>
      <c r="B192" s="7"/>
      <c r="C192" s="7"/>
      <c r="D192" s="7"/>
      <c r="E192" s="7"/>
      <c r="F192" s="7"/>
      <c r="G192" s="7"/>
      <c r="H192" s="7"/>
      <c r="I192" s="7"/>
      <c r="J192" s="7"/>
    </row>
    <row r="193" customFormat="false" ht="15" hidden="false" customHeight="true" outlineLevel="0" collapsed="false">
      <c r="A193" s="7"/>
      <c r="B193" s="7"/>
      <c r="C193" s="7"/>
      <c r="D193" s="7"/>
      <c r="E193" s="7"/>
      <c r="F193" s="7"/>
      <c r="G193" s="7"/>
      <c r="H193" s="7"/>
      <c r="I193" s="7"/>
      <c r="J193" s="7"/>
    </row>
    <row r="194" customFormat="false" ht="15" hidden="false" customHeight="true" outlineLevel="0" collapsed="false">
      <c r="A194" s="7"/>
      <c r="B194" s="7"/>
      <c r="C194" s="7"/>
      <c r="D194" s="7"/>
      <c r="E194" s="7"/>
      <c r="F194" s="7"/>
      <c r="G194" s="7"/>
      <c r="H194" s="7"/>
      <c r="I194" s="7"/>
      <c r="J194" s="7"/>
    </row>
    <row r="195" customFormat="false" ht="15" hidden="false" customHeight="true" outlineLevel="0" collapsed="false">
      <c r="A195" s="7"/>
      <c r="B195" s="7"/>
      <c r="C195" s="7"/>
      <c r="D195" s="7"/>
      <c r="E195" s="7"/>
      <c r="F195" s="7"/>
      <c r="G195" s="7"/>
      <c r="H195" s="7"/>
      <c r="I195" s="7"/>
      <c r="J195" s="7"/>
    </row>
    <row r="196" customFormat="false" ht="15" hidden="false" customHeight="true" outlineLevel="0" collapsed="false">
      <c r="A196" s="7"/>
      <c r="B196" s="7"/>
      <c r="C196" s="7"/>
      <c r="D196" s="7"/>
      <c r="E196" s="7"/>
      <c r="F196" s="7"/>
      <c r="G196" s="7"/>
      <c r="H196" s="7"/>
      <c r="I196" s="7"/>
      <c r="J196" s="7"/>
    </row>
    <row r="197" customFormat="false" ht="15" hidden="false" customHeight="true" outlineLevel="0" collapsed="false">
      <c r="A197" s="7"/>
      <c r="B197" s="7"/>
      <c r="C197" s="7"/>
      <c r="D197" s="7"/>
      <c r="E197" s="7"/>
      <c r="F197" s="7"/>
      <c r="G197" s="7"/>
      <c r="H197" s="7"/>
      <c r="I197" s="7"/>
      <c r="J197" s="7"/>
    </row>
    <row r="198" customFormat="false" ht="15" hidden="false" customHeight="true" outlineLevel="0" collapsed="false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customFormat="false" ht="15" hidden="false" customHeight="true" outlineLevel="0" collapsed="false">
      <c r="A199" s="7"/>
      <c r="B199" s="7"/>
      <c r="C199" s="7"/>
      <c r="D199" s="7"/>
      <c r="E199" s="7"/>
      <c r="F199" s="7"/>
      <c r="G199" s="7"/>
      <c r="H199" s="7"/>
      <c r="I199" s="7"/>
      <c r="J199" s="7"/>
    </row>
    <row r="200" customFormat="false" ht="15" hidden="false" customHeight="true" outlineLevel="0" collapsed="false">
      <c r="A200" s="7"/>
      <c r="B200" s="7"/>
      <c r="C200" s="7"/>
      <c r="D200" s="7"/>
      <c r="E200" s="7"/>
      <c r="F200" s="7"/>
      <c r="G200" s="7"/>
      <c r="H200" s="7"/>
      <c r="I200" s="7"/>
      <c r="J200" s="7"/>
    </row>
    <row r="201" customFormat="false" ht="15" hidden="false" customHeight="true" outlineLevel="0" collapsed="false">
      <c r="A201" s="7"/>
      <c r="B201" s="7"/>
      <c r="C201" s="7"/>
      <c r="D201" s="7"/>
      <c r="E201" s="7"/>
      <c r="F201" s="7"/>
      <c r="G201" s="7"/>
      <c r="H201" s="7"/>
      <c r="I201" s="7"/>
      <c r="J201" s="7"/>
    </row>
    <row r="202" customFormat="false" ht="15" hidden="false" customHeight="true" outlineLevel="0" collapsed="false">
      <c r="A202" s="7"/>
      <c r="B202" s="7"/>
      <c r="C202" s="7"/>
      <c r="D202" s="7"/>
      <c r="E202" s="7"/>
      <c r="F202" s="7"/>
      <c r="G202" s="7"/>
      <c r="H202" s="7"/>
      <c r="I202" s="7"/>
      <c r="J202" s="7"/>
    </row>
    <row r="203" customFormat="false" ht="15" hidden="false" customHeight="true" outlineLevel="0" collapsed="false">
      <c r="A203" s="7"/>
      <c r="B203" s="7"/>
      <c r="C203" s="7"/>
      <c r="D203" s="7"/>
      <c r="E203" s="7"/>
      <c r="F203" s="7"/>
      <c r="G203" s="7"/>
      <c r="H203" s="7"/>
      <c r="I203" s="7"/>
      <c r="J203" s="7"/>
    </row>
    <row r="204" customFormat="false" ht="15" hidden="false" customHeight="true" outlineLevel="0" collapsed="false">
      <c r="A204" s="7"/>
      <c r="B204" s="7"/>
      <c r="C204" s="7"/>
      <c r="D204" s="7"/>
      <c r="E204" s="7"/>
      <c r="F204" s="7"/>
      <c r="G204" s="7"/>
      <c r="H204" s="7"/>
      <c r="I204" s="7"/>
      <c r="J204" s="7"/>
    </row>
    <row r="205" customFormat="false" ht="15" hidden="false" customHeight="true" outlineLevel="0" collapsed="false">
      <c r="A205" s="7"/>
      <c r="B205" s="7"/>
      <c r="C205" s="7"/>
      <c r="D205" s="7"/>
      <c r="E205" s="7"/>
      <c r="F205" s="7"/>
      <c r="G205" s="7"/>
      <c r="H205" s="7"/>
      <c r="I205" s="7"/>
      <c r="J205" s="7"/>
    </row>
    <row r="206" customFormat="false" ht="15" hidden="false" customHeight="true" outlineLevel="0" collapsed="false">
      <c r="A206" s="7"/>
      <c r="B206" s="7"/>
      <c r="C206" s="7"/>
      <c r="D206" s="7"/>
      <c r="E206" s="7"/>
      <c r="F206" s="7"/>
      <c r="G206" s="7"/>
      <c r="H206" s="7"/>
      <c r="I206" s="7"/>
      <c r="J206" s="7"/>
    </row>
    <row r="207" customFormat="false" ht="15" hidden="false" customHeight="true" outlineLevel="0" collapsed="false">
      <c r="A207" s="7"/>
      <c r="B207" s="7"/>
      <c r="C207" s="7"/>
      <c r="D207" s="7"/>
      <c r="E207" s="7"/>
      <c r="F207" s="7"/>
      <c r="G207" s="7"/>
      <c r="H207" s="7"/>
      <c r="I207" s="7"/>
      <c r="J207" s="7"/>
    </row>
    <row r="208" customFormat="false" ht="15" hidden="false" customHeight="true" outlineLevel="0" collapsed="false">
      <c r="A208" s="7"/>
      <c r="B208" s="7"/>
      <c r="C208" s="7"/>
      <c r="D208" s="7"/>
      <c r="E208" s="7"/>
      <c r="F208" s="7"/>
      <c r="G208" s="7"/>
      <c r="H208" s="7"/>
      <c r="I208" s="7"/>
      <c r="J208" s="7"/>
    </row>
    <row r="209" customFormat="false" ht="15" hidden="false" customHeight="true" outlineLevel="0" collapsed="false">
      <c r="A209" s="7"/>
      <c r="B209" s="7"/>
      <c r="C209" s="7"/>
      <c r="D209" s="7"/>
      <c r="E209" s="7"/>
      <c r="F209" s="7"/>
      <c r="G209" s="7"/>
      <c r="H209" s="7"/>
      <c r="I209" s="7"/>
      <c r="J209" s="7"/>
    </row>
    <row r="210" customFormat="false" ht="15" hidden="false" customHeight="true" outlineLevel="0" collapsed="false">
      <c r="A210" s="7"/>
      <c r="B210" s="7"/>
      <c r="C210" s="7"/>
      <c r="D210" s="7"/>
      <c r="E210" s="7"/>
      <c r="F210" s="7"/>
      <c r="G210" s="7"/>
      <c r="H210" s="7"/>
      <c r="I210" s="7"/>
      <c r="J210" s="7"/>
    </row>
    <row r="211" customFormat="false" ht="15" hidden="false" customHeight="true" outlineLevel="0" collapsed="false">
      <c r="A211" s="7"/>
      <c r="B211" s="7"/>
      <c r="C211" s="7"/>
      <c r="D211" s="7"/>
      <c r="E211" s="7"/>
      <c r="F211" s="7"/>
      <c r="G211" s="7"/>
      <c r="H211" s="7"/>
      <c r="I211" s="7"/>
      <c r="J211" s="7"/>
    </row>
    <row r="212" customFormat="false" ht="15" hidden="false" customHeight="true" outlineLevel="0" collapsed="false">
      <c r="A212" s="7"/>
      <c r="B212" s="7"/>
      <c r="C212" s="7"/>
      <c r="D212" s="7"/>
      <c r="E212" s="7"/>
      <c r="F212" s="7"/>
      <c r="G212" s="7"/>
      <c r="H212" s="7"/>
      <c r="I212" s="7"/>
      <c r="J212" s="7"/>
    </row>
    <row r="213" customFormat="false" ht="15" hidden="false" customHeight="true" outlineLevel="0" collapsed="false">
      <c r="A213" s="7"/>
      <c r="B213" s="7"/>
      <c r="C213" s="7"/>
      <c r="D213" s="7"/>
      <c r="E213" s="7"/>
      <c r="F213" s="7"/>
      <c r="G213" s="7"/>
      <c r="H213" s="7"/>
      <c r="I213" s="7"/>
      <c r="J213" s="7"/>
    </row>
    <row r="214" customFormat="false" ht="15" hidden="false" customHeight="true" outlineLevel="0" collapsed="false">
      <c r="A214" s="7"/>
      <c r="B214" s="7"/>
      <c r="C214" s="7"/>
      <c r="D214" s="7"/>
      <c r="E214" s="7"/>
      <c r="F214" s="7"/>
      <c r="G214" s="7"/>
      <c r="H214" s="7"/>
      <c r="I214" s="7"/>
      <c r="J214" s="7"/>
    </row>
  </sheetData>
  <mergeCells count="7">
    <mergeCell ref="B5:E5"/>
    <mergeCell ref="B6:E6"/>
    <mergeCell ref="B7:E7"/>
    <mergeCell ref="B8:E8"/>
    <mergeCell ref="B9:E9"/>
    <mergeCell ref="B10:E10"/>
    <mergeCell ref="B11:E11"/>
  </mergeCells>
  <dataValidations count="4">
    <dataValidation allowBlank="true" errorStyle="stop" operator="between" showDropDown="false" showErrorMessage="false" showInputMessage="false" sqref="B15:B214" type="list">
      <formula1>"reference,core,case"</formula1>
      <formula2>0</formula2>
    </dataValidation>
    <dataValidation allowBlank="true" errorStyle="stop" operator="between" showDropDown="false" showErrorMessage="false" showInputMessage="false" sqref="F15:F214" type="list">
      <formula1>"Supported,Unsupported,Interpretation,Unclear"</formula1>
      <formula2>0</formula2>
    </dataValidation>
    <dataValidation allowBlank="true" errorStyle="stop" operator="between" showDropDown="false" showErrorMessage="false" showInputMessage="false" sqref="G15:G214" type="list">
      <formula1>"Minor wording,Missing key point,Substantive misinformation"</formula1>
      <formula2>0</formula2>
    </dataValidation>
    <dataValidation allowBlank="true" errorStyle="stop" operator="between" showDropDown="false" showErrorMessage="false" showInputMessage="false" sqref="J15:J21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30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2"/>
    <col collapsed="false" customWidth="true" hidden="false" outlineLevel="0" max="7" min="6" style="1" width="18"/>
    <col collapsed="false" customWidth="true" hidden="false" outlineLevel="0" max="8" min="8" style="1" width="11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1" min="11" style="1" width="12"/>
    <col collapsed="false" customWidth="true" hidden="false" outlineLevel="0" max="12" min="12" style="1" width="30"/>
  </cols>
  <sheetData>
    <row r="1" customFormat="false" ht="17.25" hidden="false" customHeight="true" outlineLevel="0" collapsed="false">
      <c r="A1" s="2" t="s">
        <v>117</v>
      </c>
    </row>
    <row r="2" customFormat="false" ht="15" hidden="false" customHeight="true" outlineLevel="0" collapsed="false">
      <c r="A2" s="3" t="s">
        <v>118</v>
      </c>
    </row>
    <row r="4" customFormat="false" ht="15" hidden="false" customHeight="true" outlineLevel="0" collapsed="false">
      <c r="A4" s="6" t="s">
        <v>119</v>
      </c>
      <c r="B4" s="11" t="s">
        <v>120</v>
      </c>
      <c r="C4" s="11"/>
      <c r="D4" s="11"/>
      <c r="E4" s="11"/>
      <c r="F4" s="11"/>
      <c r="G4" s="11"/>
      <c r="H4" s="11"/>
      <c r="I4" s="11"/>
    </row>
    <row r="5" customFormat="false" ht="15" hidden="false" customHeight="true" outlineLevel="0" collapsed="false">
      <c r="A5" s="6" t="s">
        <v>121</v>
      </c>
      <c r="B5" s="11" t="s">
        <v>122</v>
      </c>
      <c r="C5" s="11"/>
      <c r="D5" s="11"/>
      <c r="E5" s="11"/>
      <c r="F5" s="11"/>
      <c r="G5" s="11"/>
      <c r="H5" s="11"/>
      <c r="I5" s="11"/>
    </row>
    <row r="6" customFormat="false" ht="15" hidden="false" customHeight="true" outlineLevel="0" collapsed="false">
      <c r="A6" s="6" t="s">
        <v>123</v>
      </c>
      <c r="B6" s="11" t="s">
        <v>124</v>
      </c>
      <c r="C6" s="11"/>
      <c r="D6" s="11"/>
      <c r="E6" s="11"/>
      <c r="F6" s="11"/>
      <c r="G6" s="11"/>
      <c r="H6" s="11"/>
      <c r="I6" s="11"/>
    </row>
    <row r="7" customFormat="false" ht="15" hidden="false" customHeight="true" outlineLevel="0" collapsed="false">
      <c r="A7" s="6" t="s">
        <v>125</v>
      </c>
      <c r="B7" s="11" t="s">
        <v>126</v>
      </c>
      <c r="C7" s="11"/>
      <c r="D7" s="11"/>
      <c r="E7" s="11"/>
      <c r="F7" s="11"/>
      <c r="G7" s="11"/>
      <c r="H7" s="11"/>
      <c r="I7" s="11"/>
    </row>
    <row r="8" customFormat="false" ht="15" hidden="false" customHeight="true" outlineLevel="0" collapsed="false">
      <c r="A8" s="6" t="s">
        <v>127</v>
      </c>
      <c r="B8" s="11" t="s">
        <v>128</v>
      </c>
      <c r="C8" s="11"/>
      <c r="D8" s="11"/>
      <c r="E8" s="11"/>
      <c r="F8" s="11"/>
      <c r="G8" s="11"/>
      <c r="H8" s="11"/>
      <c r="I8" s="11"/>
    </row>
    <row r="10" customFormat="false" ht="45" hidden="false" customHeight="true" outlineLevel="0" collapsed="false">
      <c r="A10" s="10" t="s">
        <v>129</v>
      </c>
      <c r="B10" s="10" t="s">
        <v>130</v>
      </c>
      <c r="C10" s="10" t="s">
        <v>131</v>
      </c>
      <c r="D10" s="10" t="s">
        <v>132</v>
      </c>
      <c r="E10" s="10" t="s">
        <v>133</v>
      </c>
      <c r="F10" s="10" t="s">
        <v>134</v>
      </c>
      <c r="G10" s="10" t="s">
        <v>135</v>
      </c>
      <c r="H10" s="10" t="s">
        <v>136</v>
      </c>
      <c r="I10" s="10" t="s">
        <v>137</v>
      </c>
      <c r="J10" s="10" t="s">
        <v>138</v>
      </c>
      <c r="K10" s="10" t="s">
        <v>139</v>
      </c>
      <c r="L10" s="10" t="s">
        <v>140</v>
      </c>
    </row>
    <row r="11" customFormat="false" ht="15" hidden="false" customHeight="true" outlineLevel="0" collapsed="false">
      <c r="A11" s="4" t="s">
        <v>141</v>
      </c>
      <c r="B11" s="11" t="s">
        <v>142</v>
      </c>
      <c r="C11" s="11" t="s">
        <v>143</v>
      </c>
      <c r="D11" s="11" t="n">
        <v>2061</v>
      </c>
      <c r="E11" s="6" t="s">
        <v>144</v>
      </c>
      <c r="F11" s="12" t="n">
        <v>0</v>
      </c>
      <c r="G11" s="11" t="n">
        <v>8.67</v>
      </c>
      <c r="H11" s="6" t="n">
        <f aca="false">IF(G11="","",F11+G11)</f>
        <v>8.67</v>
      </c>
      <c r="I11" s="11" t="n">
        <v>7</v>
      </c>
      <c r="J11" s="13" t="n">
        <f aca="false">IF(OR(H11="",D11=""),"",H11/D11*1000)</f>
        <v>4.20669577874818</v>
      </c>
      <c r="K11" s="11" t="s">
        <v>145</v>
      </c>
      <c r="L11" s="11" t="s">
        <v>146</v>
      </c>
    </row>
    <row r="12" customFormat="false" ht="15" hidden="false" customHeight="true" outlineLevel="0" collapsed="false">
      <c r="A12" s="4" t="s">
        <v>147</v>
      </c>
      <c r="B12" s="11" t="s">
        <v>148</v>
      </c>
      <c r="C12" s="11" t="s">
        <v>149</v>
      </c>
      <c r="D12" s="11" t="n">
        <v>2360</v>
      </c>
      <c r="E12" s="6" t="s">
        <v>150</v>
      </c>
      <c r="F12" s="14" t="n">
        <v>1.02</v>
      </c>
      <c r="G12" s="11" t="n">
        <v>1.175</v>
      </c>
      <c r="H12" s="6" t="n">
        <f aca="false">IF(G12="","",F12+G12)</f>
        <v>2.195</v>
      </c>
      <c r="I12" s="11" t="n">
        <v>9</v>
      </c>
      <c r="J12" s="13" t="n">
        <f aca="false">IF(OR(H12="",D12=""),"",H12/D12*1000)</f>
        <v>0.930084745762712</v>
      </c>
      <c r="K12" s="11" t="s">
        <v>145</v>
      </c>
      <c r="L12" s="11" t="s">
        <v>151</v>
      </c>
    </row>
    <row r="13" customFormat="false" ht="15" hidden="false" customHeight="true" outlineLevel="0" collapsed="false">
      <c r="A13" s="4" t="s">
        <v>152</v>
      </c>
      <c r="B13" s="11" t="s">
        <v>153</v>
      </c>
      <c r="C13" s="11" t="s">
        <v>149</v>
      </c>
      <c r="D13" s="11" t="n">
        <v>2077</v>
      </c>
      <c r="E13" s="6" t="s">
        <v>144</v>
      </c>
      <c r="F13" s="12" t="n">
        <v>0</v>
      </c>
      <c r="G13" s="11" t="n">
        <v>6.55</v>
      </c>
      <c r="H13" s="6" t="n">
        <f aca="false">IF(G13="","",F13+G13)</f>
        <v>6.55</v>
      </c>
      <c r="I13" s="11" t="n">
        <v>7</v>
      </c>
      <c r="J13" s="13" t="n">
        <f aca="false">IF(OR(H13="",D13=""),"",H13/D13*1000)</f>
        <v>3.15358690418873</v>
      </c>
      <c r="K13" s="11" t="s">
        <v>145</v>
      </c>
      <c r="L13" s="11" t="s">
        <v>154</v>
      </c>
    </row>
    <row r="14" customFormat="false" ht="15" hidden="false" customHeight="true" outlineLevel="0" collapsed="false">
      <c r="A14" s="4" t="s">
        <v>155</v>
      </c>
      <c r="B14" s="11" t="s">
        <v>156</v>
      </c>
      <c r="C14" s="11" t="s">
        <v>157</v>
      </c>
      <c r="D14" s="11" t="n">
        <v>1578</v>
      </c>
      <c r="E14" s="6" t="s">
        <v>150</v>
      </c>
      <c r="F14" s="14" t="n">
        <v>1.02</v>
      </c>
      <c r="G14" s="11" t="n">
        <v>1.175</v>
      </c>
      <c r="H14" s="6" t="n">
        <f aca="false">IF(G14="","",F14+G14)</f>
        <v>2.195</v>
      </c>
      <c r="I14" s="11" t="n">
        <v>8</v>
      </c>
      <c r="J14" s="13" t="n">
        <f aca="false">IF(OR(H14="",D14=""),"",H14/D14*1000)</f>
        <v>1.39100126742712</v>
      </c>
      <c r="K14" s="11" t="s">
        <v>145</v>
      </c>
      <c r="L14" s="11" t="s">
        <v>158</v>
      </c>
    </row>
    <row r="16" customFormat="false" ht="15" hidden="false" customHeight="true" outlineLevel="0" collapsed="false">
      <c r="A16" s="4" t="s">
        <v>22</v>
      </c>
    </row>
    <row r="17" customFormat="false" ht="15" hidden="false" customHeight="true" outlineLevel="0" collapsed="false">
      <c r="A17" s="6" t="s">
        <v>159</v>
      </c>
      <c r="B17" s="15" t="n">
        <f aca="false">IFERROR((H11+H13)/(D11+D13)*1000,"")</f>
        <v>3.67810536491058</v>
      </c>
    </row>
    <row r="18" customFormat="false" ht="15" hidden="false" customHeight="true" outlineLevel="0" collapsed="false">
      <c r="A18" s="6" t="s">
        <v>160</v>
      </c>
      <c r="B18" s="15" t="n">
        <f aca="false">IFERROR((H12+H14)/(D12+D14)*1000,"")</f>
        <v>1.11477907567293</v>
      </c>
    </row>
    <row r="19" customFormat="false" ht="15" hidden="false" customHeight="true" outlineLevel="0" collapsed="false">
      <c r="A19" s="6" t="s">
        <v>161</v>
      </c>
      <c r="B19" s="16" t="n">
        <f aca="false">IFERROR(1-B18/B17,"")</f>
        <v>0.696914861029265</v>
      </c>
    </row>
    <row r="20" customFormat="false" ht="15" hidden="false" customHeight="true" outlineLevel="0" collapsed="false">
      <c r="A20" s="6" t="s">
        <v>162</v>
      </c>
      <c r="B20" s="17" t="n">
        <v>2.92</v>
      </c>
      <c r="C20" s="3" t="s">
        <v>163</v>
      </c>
    </row>
    <row r="21" customFormat="false" ht="15" hidden="false" customHeight="true" outlineLevel="0" collapsed="false">
      <c r="A21" s="6" t="s">
        <v>164</v>
      </c>
      <c r="B21" s="17" t="n">
        <v>0.81</v>
      </c>
    </row>
    <row r="22" customFormat="false" ht="15" hidden="false" customHeight="true" outlineLevel="0" collapsed="false">
      <c r="A22" s="6" t="s">
        <v>165</v>
      </c>
      <c r="B22" s="16" t="n">
        <f aca="false">1-B21/B20</f>
        <v>0.722602739726027</v>
      </c>
    </row>
    <row r="24" customFormat="false" ht="15" hidden="false" customHeight="true" outlineLevel="0" collapsed="false">
      <c r="A24" s="4" t="s">
        <v>46</v>
      </c>
      <c r="B24" s="1" t="str">
        <f aca="false">IF(B19="","","Fresh-file test (4 unseen files, each done one way only): "&amp;TEXT(B17,"0.00")&amp;" vs "&amp;TEXT(B18,"0.00")&amp;" min per 1,000 words, "&amp;TEXT(B19,"0%")&amp;" less; original test "&amp;TEXT(B22,"0%")&amp;". Quality: 12/14 vs 17/17 notes pass all 5 checks.")</f>
        <v>Fresh-file test (4 unseen files, each done one way only): 3.68 vs 1.11 min per 1,000 words, 70% less; original test 72%. Quality: 12/14 vs 17/17 notes pass all 5 checks.</v>
      </c>
    </row>
  </sheetData>
  <mergeCells count="5">
    <mergeCell ref="B4:I4"/>
    <mergeCell ref="B5:I5"/>
    <mergeCell ref="B6:I6"/>
    <mergeCell ref="B7:I7"/>
    <mergeCell ref="B8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7" min="5" style="1" width="13"/>
    <col collapsed="false" customWidth="true" hidden="false" outlineLevel="0" max="9" min="8" style="1" width="10"/>
    <col collapsed="false" customWidth="true" hidden="false" outlineLevel="0" max="10" min="10" style="1" width="40"/>
    <col collapsed="false" customWidth="true" hidden="false" outlineLevel="0" max="12" min="12" style="1" width="30"/>
    <col collapsed="false" customWidth="true" hidden="false" outlineLevel="0" max="14" min="13" style="1" width="15"/>
  </cols>
  <sheetData>
    <row r="1" customFormat="false" ht="17.25" hidden="false" customHeight="true" outlineLevel="0" collapsed="false">
      <c r="A1" s="2" t="s">
        <v>166</v>
      </c>
    </row>
    <row r="2" customFormat="false" ht="15" hidden="false" customHeight="true" outlineLevel="0" collapsed="false">
      <c r="A2" s="3" t="s">
        <v>167</v>
      </c>
    </row>
    <row r="4" customFormat="false" ht="15" hidden="false" customHeight="true" outlineLevel="0" collapsed="false">
      <c r="A4" s="4" t="s">
        <v>168</v>
      </c>
    </row>
    <row r="5" customFormat="false" ht="15" hidden="false" customHeight="true" outlineLevel="0" collapsed="false">
      <c r="A5" s="6" t="s">
        <v>169</v>
      </c>
      <c r="B5" s="6" t="s">
        <v>170</v>
      </c>
    </row>
    <row r="6" customFormat="false" ht="15" hidden="false" customHeight="true" outlineLevel="0" collapsed="false">
      <c r="A6" s="6" t="s">
        <v>171</v>
      </c>
      <c r="B6" s="6" t="s">
        <v>170</v>
      </c>
    </row>
    <row r="7" customFormat="false" ht="15" hidden="false" customHeight="true" outlineLevel="0" collapsed="false">
      <c r="A7" s="6" t="s">
        <v>172</v>
      </c>
      <c r="B7" s="6" t="s">
        <v>173</v>
      </c>
    </row>
    <row r="8" customFormat="false" ht="15" hidden="false" customHeight="true" outlineLevel="0" collapsed="false">
      <c r="A8" s="6" t="s">
        <v>174</v>
      </c>
      <c r="B8" s="6" t="s">
        <v>175</v>
      </c>
    </row>
    <row r="9" customFormat="false" ht="15" hidden="false" customHeight="true" outlineLevel="0" collapsed="false">
      <c r="A9" s="18" t="s">
        <v>176</v>
      </c>
    </row>
    <row r="10" customFormat="false" ht="15" hidden="false" customHeight="true" outlineLevel="0" collapsed="false">
      <c r="A10" s="18" t="s">
        <v>177</v>
      </c>
    </row>
    <row r="11" customFormat="false" ht="31.5" hidden="false" customHeight="true" outlineLevel="0" collapsed="false">
      <c r="A11" s="10" t="s">
        <v>178</v>
      </c>
      <c r="B11" s="10" t="s">
        <v>179</v>
      </c>
      <c r="C11" s="10" t="s">
        <v>180</v>
      </c>
      <c r="D11" s="10" t="s">
        <v>181</v>
      </c>
      <c r="E11" s="10" t="s">
        <v>182</v>
      </c>
      <c r="F11" s="10" t="s">
        <v>183</v>
      </c>
      <c r="G11" s="10" t="s">
        <v>184</v>
      </c>
      <c r="H11" s="10" t="s">
        <v>185</v>
      </c>
      <c r="I11" s="10" t="s">
        <v>186</v>
      </c>
      <c r="J11" s="10" t="s">
        <v>187</v>
      </c>
      <c r="L11" s="19" t="s">
        <v>188</v>
      </c>
      <c r="M11" s="19" t="s">
        <v>189</v>
      </c>
      <c r="N11" s="19" t="s">
        <v>190</v>
      </c>
    </row>
    <row r="12" customFormat="false" ht="15" hidden="false" customHeight="true" outlineLevel="0" collapsed="false">
      <c r="A12" s="6" t="s">
        <v>189</v>
      </c>
      <c r="B12" s="6" t="n">
        <v>1</v>
      </c>
      <c r="C12" s="7"/>
      <c r="D12" s="7"/>
      <c r="E12" s="7"/>
      <c r="F12" s="7"/>
      <c r="G12" s="7"/>
      <c r="H12" s="7"/>
      <c r="I12" s="6" t="str">
        <f aca="false">IF(COUNT(E12:H12)=0,"",SUM(E12:H12))</f>
        <v/>
      </c>
      <c r="J12" s="7"/>
      <c r="L12" s="6" t="s">
        <v>191</v>
      </c>
      <c r="M12" s="8" t="n">
        <f aca="false">SUM(I12:I31)</f>
        <v>0</v>
      </c>
      <c r="N12" s="8" t="n">
        <f aca="false">SUM(I32:I51)</f>
        <v>0</v>
      </c>
    </row>
    <row r="13" customFormat="false" ht="15" hidden="false" customHeight="true" outlineLevel="0" collapsed="false">
      <c r="A13" s="6" t="s">
        <v>189</v>
      </c>
      <c r="B13" s="6" t="n">
        <v>2</v>
      </c>
      <c r="C13" s="7"/>
      <c r="D13" s="7"/>
      <c r="E13" s="7"/>
      <c r="F13" s="7"/>
      <c r="G13" s="7"/>
      <c r="H13" s="7"/>
      <c r="I13" s="6" t="str">
        <f aca="false">IF(COUNT(E13:H13)=0,"",SUM(E13:H13))</f>
        <v/>
      </c>
      <c r="J13" s="7"/>
      <c r="L13" s="6" t="s">
        <v>192</v>
      </c>
      <c r="M13" s="8" t="n">
        <f aca="false">SUM(G12:G31)</f>
        <v>0</v>
      </c>
      <c r="N13" s="8" t="n">
        <f aca="false">SUM(G32:G51)</f>
        <v>0</v>
      </c>
    </row>
    <row r="14" customFormat="false" ht="15" hidden="false" customHeight="true" outlineLevel="0" collapsed="false">
      <c r="A14" s="6" t="s">
        <v>189</v>
      </c>
      <c r="B14" s="6" t="n">
        <v>3</v>
      </c>
      <c r="C14" s="7"/>
      <c r="D14" s="7"/>
      <c r="E14" s="7"/>
      <c r="F14" s="7"/>
      <c r="G14" s="7"/>
      <c r="H14" s="7"/>
      <c r="I14" s="6" t="str">
        <f aca="false">IF(COUNT(E14:H14)=0,"",SUM(E14:H14))</f>
        <v/>
      </c>
      <c r="J14" s="7"/>
      <c r="L14" s="6" t="s">
        <v>193</v>
      </c>
      <c r="M14" s="8" t="n">
        <f aca="false">SUM(H12:H31)</f>
        <v>0</v>
      </c>
      <c r="N14" s="8" t="n">
        <f aca="false">SUM(H32:H51)</f>
        <v>0</v>
      </c>
    </row>
    <row r="15" customFormat="false" ht="15" hidden="false" customHeight="true" outlineLevel="0" collapsed="false">
      <c r="A15" s="6" t="s">
        <v>189</v>
      </c>
      <c r="B15" s="6" t="n">
        <v>4</v>
      </c>
      <c r="C15" s="7"/>
      <c r="D15" s="7"/>
      <c r="E15" s="7"/>
      <c r="F15" s="7"/>
      <c r="G15" s="7"/>
      <c r="H15" s="7"/>
      <c r="I15" s="6" t="str">
        <f aca="false">IF(COUNT(E15:H15)=0,"",SUM(E15:H15))</f>
        <v/>
      </c>
      <c r="J15" s="7"/>
      <c r="L15" s="6" t="s">
        <v>194</v>
      </c>
      <c r="M15" s="8" t="n">
        <f aca="false">SUM(E12:E31)</f>
        <v>0</v>
      </c>
      <c r="N15" s="8" t="n">
        <f aca="false">SUM(E32:E51)</f>
        <v>0</v>
      </c>
    </row>
    <row r="16" customFormat="false" ht="15" hidden="false" customHeight="true" outlineLevel="0" collapsed="false">
      <c r="A16" s="6" t="s">
        <v>189</v>
      </c>
      <c r="B16" s="6" t="n">
        <v>5</v>
      </c>
      <c r="C16" s="7"/>
      <c r="D16" s="7"/>
      <c r="E16" s="7"/>
      <c r="F16" s="7"/>
      <c r="G16" s="7"/>
      <c r="H16" s="7"/>
      <c r="I16" s="6" t="str">
        <f aca="false">IF(COUNT(E16:H16)=0,"",SUM(E16:H16))</f>
        <v/>
      </c>
      <c r="J16" s="7"/>
      <c r="L16" s="6" t="s">
        <v>195</v>
      </c>
      <c r="M16" s="20" t="str">
        <f aca="false">IFERROR(COUNTIF(D12:D31,"B")/COUNTA(D12:D31),"")</f>
        <v/>
      </c>
      <c r="N16" s="20" t="str">
        <f aca="false">IFERROR(COUNTIF(D32:D51,"B")/COUNTA(D32:D51),"")</f>
        <v/>
      </c>
    </row>
    <row r="17" customFormat="false" ht="15" hidden="false" customHeight="true" outlineLevel="0" collapsed="false">
      <c r="A17" s="6" t="s">
        <v>189</v>
      </c>
      <c r="B17" s="6" t="n">
        <v>6</v>
      </c>
      <c r="C17" s="7"/>
      <c r="D17" s="7"/>
      <c r="E17" s="7"/>
      <c r="F17" s="7"/>
      <c r="G17" s="7"/>
      <c r="H17" s="7"/>
      <c r="I17" s="6" t="str">
        <f aca="false">IF(COUNT(E17:H17)=0,"",SUM(E17:H17))</f>
        <v/>
      </c>
      <c r="J17" s="7"/>
      <c r="L17" s="6" t="s">
        <v>196</v>
      </c>
      <c r="M17" s="8" t="n">
        <f aca="false">COUNT(I12:I31)</f>
        <v>0</v>
      </c>
      <c r="N17" s="8" t="n">
        <f aca="false">COUNT(I32:I51)</f>
        <v>0</v>
      </c>
    </row>
    <row r="18" customFormat="false" ht="15" hidden="false" customHeight="true" outlineLevel="0" collapsed="false">
      <c r="A18" s="6" t="s">
        <v>189</v>
      </c>
      <c r="B18" s="6" t="n">
        <v>7</v>
      </c>
      <c r="C18" s="7"/>
      <c r="D18" s="7"/>
      <c r="E18" s="7"/>
      <c r="F18" s="7"/>
      <c r="G18" s="7"/>
      <c r="H18" s="7"/>
      <c r="I18" s="6" t="str">
        <f aca="false">IF(COUNT(E18:H18)=0,"",SUM(E18:H18))</f>
        <v/>
      </c>
      <c r="J18" s="7"/>
      <c r="L18" s="6" t="s">
        <v>197</v>
      </c>
      <c r="M18" s="20" t="str">
        <f aca="false">IFERROR(M12/(M17*5),"")</f>
        <v/>
      </c>
      <c r="N18" s="20" t="str">
        <f aca="false">IFERROR(N12/(N17*5),"")</f>
        <v/>
      </c>
    </row>
    <row r="19" customFormat="false" ht="15" hidden="false" customHeight="true" outlineLevel="0" collapsed="false">
      <c r="A19" s="6" t="s">
        <v>189</v>
      </c>
      <c r="B19" s="6" t="n">
        <v>8</v>
      </c>
      <c r="C19" s="7"/>
      <c r="D19" s="7"/>
      <c r="E19" s="7"/>
      <c r="F19" s="7"/>
      <c r="G19" s="7"/>
      <c r="H19" s="7"/>
      <c r="I19" s="6" t="str">
        <f aca="false">IF(COUNT(E19:H19)=0,"",SUM(E19:H19))</f>
        <v/>
      </c>
      <c r="J19" s="7"/>
    </row>
    <row r="20" customFormat="false" ht="15" hidden="false" customHeight="true" outlineLevel="0" collapsed="false">
      <c r="A20" s="6" t="s">
        <v>189</v>
      </c>
      <c r="B20" s="6" t="n">
        <v>9</v>
      </c>
      <c r="C20" s="7"/>
      <c r="D20" s="7"/>
      <c r="E20" s="7"/>
      <c r="F20" s="7"/>
      <c r="G20" s="7"/>
      <c r="H20" s="7"/>
      <c r="I20" s="6" t="str">
        <f aca="false">IF(COUNT(E20:H20)=0,"",SUM(E20:H20))</f>
        <v/>
      </c>
      <c r="J20" s="7"/>
      <c r="L20" s="4" t="s">
        <v>46</v>
      </c>
    </row>
    <row r="21" customFormat="false" ht="15" hidden="false" customHeight="true" outlineLevel="0" collapsed="false">
      <c r="A21" s="6" t="s">
        <v>189</v>
      </c>
      <c r="B21" s="6" t="n">
        <v>10</v>
      </c>
      <c r="C21" s="7"/>
      <c r="D21" s="7"/>
      <c r="E21" s="7"/>
      <c r="F21" s="7"/>
      <c r="G21" s="7"/>
      <c r="H21" s="7"/>
      <c r="I21" s="6" t="str">
        <f aca="false">IF(COUNT(E21:H21)=0,"",SUM(E21:H21))</f>
        <v/>
      </c>
      <c r="J21" s="7"/>
      <c r="L21" s="1" t="str">
        <f aca="false">IF(N17=0,"","Quiz quality, same rubric: Day 9 "&amp;TEXT(M18,"0%")&amp;" ("&amp;M17&amp;" questions) → Day 11 "&amp;TEXT(N18,"0%")&amp;" ("&amp;N17&amp;" questions, improved prompt); distractors "&amp;M13&amp;"/"&amp;M17*2&amp;" → "&amp;N13&amp;"/"&amp;N17*2&amp;".")</f>
        <v/>
      </c>
    </row>
    <row r="22" customFormat="false" ht="15" hidden="false" customHeight="true" outlineLevel="0" collapsed="false">
      <c r="A22" s="6" t="s">
        <v>189</v>
      </c>
      <c r="B22" s="6" t="n">
        <v>11</v>
      </c>
      <c r="C22" s="7"/>
      <c r="D22" s="7"/>
      <c r="E22" s="7"/>
      <c r="F22" s="7"/>
      <c r="G22" s="7"/>
      <c r="H22" s="7"/>
      <c r="I22" s="6" t="str">
        <f aca="false">IF(COUNT(E22:H22)=0,"",SUM(E22:H22))</f>
        <v/>
      </c>
      <c r="J22" s="7"/>
    </row>
    <row r="23" customFormat="false" ht="15" hidden="false" customHeight="true" outlineLevel="0" collapsed="false">
      <c r="A23" s="6" t="s">
        <v>189</v>
      </c>
      <c r="B23" s="6" t="n">
        <v>12</v>
      </c>
      <c r="C23" s="7"/>
      <c r="D23" s="7"/>
      <c r="E23" s="7"/>
      <c r="F23" s="7"/>
      <c r="G23" s="7"/>
      <c r="H23" s="7"/>
      <c r="I23" s="6" t="str">
        <f aca="false">IF(COUNT(E23:H23)=0,"",SUM(E23:H23))</f>
        <v/>
      </c>
      <c r="J23" s="7"/>
    </row>
    <row r="24" customFormat="false" ht="15" hidden="false" customHeight="true" outlineLevel="0" collapsed="false">
      <c r="A24" s="6" t="s">
        <v>189</v>
      </c>
      <c r="B24" s="6" t="n">
        <v>13</v>
      </c>
      <c r="C24" s="7"/>
      <c r="D24" s="7"/>
      <c r="E24" s="7"/>
      <c r="F24" s="7"/>
      <c r="G24" s="7"/>
      <c r="H24" s="7"/>
      <c r="I24" s="6" t="str">
        <f aca="false">IF(COUNT(E24:H24)=0,"",SUM(E24:H24))</f>
        <v/>
      </c>
      <c r="J24" s="7"/>
    </row>
    <row r="25" customFormat="false" ht="15" hidden="false" customHeight="true" outlineLevel="0" collapsed="false">
      <c r="A25" s="6" t="s">
        <v>189</v>
      </c>
      <c r="B25" s="6" t="n">
        <v>14</v>
      </c>
      <c r="C25" s="7"/>
      <c r="D25" s="7"/>
      <c r="E25" s="7"/>
      <c r="F25" s="7"/>
      <c r="G25" s="7"/>
      <c r="H25" s="7"/>
      <c r="I25" s="6" t="str">
        <f aca="false">IF(COUNT(E25:H25)=0,"",SUM(E25:H25))</f>
        <v/>
      </c>
      <c r="J25" s="7"/>
    </row>
    <row r="26" customFormat="false" ht="15" hidden="false" customHeight="true" outlineLevel="0" collapsed="false">
      <c r="A26" s="6" t="s">
        <v>189</v>
      </c>
      <c r="B26" s="6" t="n">
        <v>15</v>
      </c>
      <c r="C26" s="7"/>
      <c r="D26" s="7"/>
      <c r="E26" s="7"/>
      <c r="F26" s="7"/>
      <c r="G26" s="7"/>
      <c r="H26" s="7"/>
      <c r="I26" s="6" t="str">
        <f aca="false">IF(COUNT(E26:H26)=0,"",SUM(E26:H26))</f>
        <v/>
      </c>
      <c r="J26" s="7"/>
    </row>
    <row r="27" customFormat="false" ht="15" hidden="false" customHeight="true" outlineLevel="0" collapsed="false">
      <c r="A27" s="6" t="s">
        <v>189</v>
      </c>
      <c r="B27" s="6" t="n">
        <v>16</v>
      </c>
      <c r="C27" s="7"/>
      <c r="D27" s="7"/>
      <c r="E27" s="7"/>
      <c r="F27" s="7"/>
      <c r="G27" s="7"/>
      <c r="H27" s="7"/>
      <c r="I27" s="6" t="str">
        <f aca="false">IF(COUNT(E27:H27)=0,"",SUM(E27:H27))</f>
        <v/>
      </c>
      <c r="J27" s="7"/>
    </row>
    <row r="28" customFormat="false" ht="15" hidden="false" customHeight="true" outlineLevel="0" collapsed="false">
      <c r="A28" s="6" t="s">
        <v>189</v>
      </c>
      <c r="B28" s="6" t="n">
        <v>17</v>
      </c>
      <c r="C28" s="7"/>
      <c r="D28" s="7"/>
      <c r="E28" s="7"/>
      <c r="F28" s="7"/>
      <c r="G28" s="7"/>
      <c r="H28" s="7"/>
      <c r="I28" s="6" t="str">
        <f aca="false">IF(COUNT(E28:H28)=0,"",SUM(E28:H28))</f>
        <v/>
      </c>
      <c r="J28" s="7"/>
    </row>
    <row r="29" customFormat="false" ht="15" hidden="false" customHeight="true" outlineLevel="0" collapsed="false">
      <c r="A29" s="6" t="s">
        <v>189</v>
      </c>
      <c r="B29" s="6" t="n">
        <v>18</v>
      </c>
      <c r="C29" s="7"/>
      <c r="D29" s="7"/>
      <c r="E29" s="7"/>
      <c r="F29" s="7"/>
      <c r="G29" s="7"/>
      <c r="H29" s="7"/>
      <c r="I29" s="6" t="str">
        <f aca="false">IF(COUNT(E29:H29)=0,"",SUM(E29:H29))</f>
        <v/>
      </c>
      <c r="J29" s="7"/>
    </row>
    <row r="30" customFormat="false" ht="15" hidden="false" customHeight="true" outlineLevel="0" collapsed="false">
      <c r="A30" s="6" t="s">
        <v>189</v>
      </c>
      <c r="B30" s="6" t="n">
        <v>19</v>
      </c>
      <c r="C30" s="7"/>
      <c r="D30" s="7"/>
      <c r="E30" s="7"/>
      <c r="F30" s="7"/>
      <c r="G30" s="7"/>
      <c r="H30" s="7"/>
      <c r="I30" s="6" t="str">
        <f aca="false">IF(COUNT(E30:H30)=0,"",SUM(E30:H30))</f>
        <v/>
      </c>
      <c r="J30" s="7"/>
    </row>
    <row r="31" customFormat="false" ht="15" hidden="false" customHeight="true" outlineLevel="0" collapsed="false">
      <c r="A31" s="6" t="s">
        <v>189</v>
      </c>
      <c r="B31" s="6" t="n">
        <v>20</v>
      </c>
      <c r="C31" s="7"/>
      <c r="D31" s="7"/>
      <c r="E31" s="7"/>
      <c r="F31" s="7"/>
      <c r="G31" s="7"/>
      <c r="H31" s="7"/>
      <c r="I31" s="6" t="str">
        <f aca="false">IF(COUNT(E31:H31)=0,"",SUM(E31:H31))</f>
        <v/>
      </c>
      <c r="J31" s="7"/>
    </row>
    <row r="32" customFormat="false" ht="15" hidden="false" customHeight="true" outlineLevel="0" collapsed="false">
      <c r="A32" s="6" t="s">
        <v>190</v>
      </c>
      <c r="B32" s="6" t="n">
        <v>1</v>
      </c>
      <c r="C32" s="7"/>
      <c r="D32" s="7"/>
      <c r="E32" s="7"/>
      <c r="F32" s="7"/>
      <c r="G32" s="7"/>
      <c r="H32" s="7"/>
      <c r="I32" s="6" t="str">
        <f aca="false">IF(COUNT(E32:H32)=0,"",SUM(E32:H32))</f>
        <v/>
      </c>
      <c r="J32" s="7"/>
    </row>
    <row r="33" customFormat="false" ht="15" hidden="false" customHeight="true" outlineLevel="0" collapsed="false">
      <c r="A33" s="6" t="s">
        <v>190</v>
      </c>
      <c r="B33" s="6" t="n">
        <v>2</v>
      </c>
      <c r="C33" s="7"/>
      <c r="D33" s="7"/>
      <c r="E33" s="7"/>
      <c r="F33" s="7"/>
      <c r="G33" s="7"/>
      <c r="H33" s="7"/>
      <c r="I33" s="6" t="str">
        <f aca="false">IF(COUNT(E33:H33)=0,"",SUM(E33:H33))</f>
        <v/>
      </c>
      <c r="J33" s="7"/>
    </row>
    <row r="34" customFormat="false" ht="15" hidden="false" customHeight="true" outlineLevel="0" collapsed="false">
      <c r="A34" s="6" t="s">
        <v>190</v>
      </c>
      <c r="B34" s="6" t="n">
        <v>3</v>
      </c>
      <c r="C34" s="7"/>
      <c r="D34" s="7"/>
      <c r="E34" s="7"/>
      <c r="F34" s="7"/>
      <c r="G34" s="7"/>
      <c r="H34" s="7"/>
      <c r="I34" s="6" t="str">
        <f aca="false">IF(COUNT(E34:H34)=0,"",SUM(E34:H34))</f>
        <v/>
      </c>
      <c r="J34" s="7"/>
    </row>
    <row r="35" customFormat="false" ht="15" hidden="false" customHeight="true" outlineLevel="0" collapsed="false">
      <c r="A35" s="6" t="s">
        <v>190</v>
      </c>
      <c r="B35" s="6" t="n">
        <v>4</v>
      </c>
      <c r="C35" s="7"/>
      <c r="D35" s="7"/>
      <c r="E35" s="7"/>
      <c r="F35" s="7"/>
      <c r="G35" s="7"/>
      <c r="H35" s="7"/>
      <c r="I35" s="6" t="str">
        <f aca="false">IF(COUNT(E35:H35)=0,"",SUM(E35:H35))</f>
        <v/>
      </c>
      <c r="J35" s="7"/>
    </row>
    <row r="36" customFormat="false" ht="15" hidden="false" customHeight="true" outlineLevel="0" collapsed="false">
      <c r="A36" s="6" t="s">
        <v>190</v>
      </c>
      <c r="B36" s="6" t="n">
        <v>5</v>
      </c>
      <c r="C36" s="7"/>
      <c r="D36" s="7"/>
      <c r="E36" s="7"/>
      <c r="F36" s="7"/>
      <c r="G36" s="7"/>
      <c r="H36" s="7"/>
      <c r="I36" s="6" t="str">
        <f aca="false">IF(COUNT(E36:H36)=0,"",SUM(E36:H36))</f>
        <v/>
      </c>
      <c r="J36" s="7"/>
    </row>
    <row r="37" customFormat="false" ht="15" hidden="false" customHeight="true" outlineLevel="0" collapsed="false">
      <c r="A37" s="6" t="s">
        <v>190</v>
      </c>
      <c r="B37" s="6" t="n">
        <v>6</v>
      </c>
      <c r="C37" s="7"/>
      <c r="D37" s="7"/>
      <c r="E37" s="7"/>
      <c r="F37" s="7"/>
      <c r="G37" s="7"/>
      <c r="H37" s="7"/>
      <c r="I37" s="6" t="str">
        <f aca="false">IF(COUNT(E37:H37)=0,"",SUM(E37:H37))</f>
        <v/>
      </c>
      <c r="J37" s="7"/>
    </row>
    <row r="38" customFormat="false" ht="15" hidden="false" customHeight="true" outlineLevel="0" collapsed="false">
      <c r="A38" s="6" t="s">
        <v>190</v>
      </c>
      <c r="B38" s="6" t="n">
        <v>7</v>
      </c>
      <c r="C38" s="7"/>
      <c r="D38" s="7"/>
      <c r="E38" s="7"/>
      <c r="F38" s="7"/>
      <c r="G38" s="7"/>
      <c r="H38" s="7"/>
      <c r="I38" s="6" t="str">
        <f aca="false">IF(COUNT(E38:H38)=0,"",SUM(E38:H38))</f>
        <v/>
      </c>
      <c r="J38" s="7"/>
    </row>
    <row r="39" customFormat="false" ht="15" hidden="false" customHeight="true" outlineLevel="0" collapsed="false">
      <c r="A39" s="6" t="s">
        <v>190</v>
      </c>
      <c r="B39" s="6" t="n">
        <v>8</v>
      </c>
      <c r="C39" s="7"/>
      <c r="D39" s="7"/>
      <c r="E39" s="7"/>
      <c r="F39" s="7"/>
      <c r="G39" s="7"/>
      <c r="H39" s="7"/>
      <c r="I39" s="6" t="str">
        <f aca="false">IF(COUNT(E39:H39)=0,"",SUM(E39:H39))</f>
        <v/>
      </c>
      <c r="J39" s="7"/>
    </row>
    <row r="40" customFormat="false" ht="15" hidden="false" customHeight="true" outlineLevel="0" collapsed="false">
      <c r="A40" s="6" t="s">
        <v>190</v>
      </c>
      <c r="B40" s="6" t="n">
        <v>9</v>
      </c>
      <c r="C40" s="7"/>
      <c r="D40" s="7"/>
      <c r="E40" s="7"/>
      <c r="F40" s="7"/>
      <c r="G40" s="7"/>
      <c r="H40" s="7"/>
      <c r="I40" s="6" t="str">
        <f aca="false">IF(COUNT(E40:H40)=0,"",SUM(E40:H40))</f>
        <v/>
      </c>
      <c r="J40" s="7"/>
    </row>
    <row r="41" customFormat="false" ht="15" hidden="false" customHeight="true" outlineLevel="0" collapsed="false">
      <c r="A41" s="6" t="s">
        <v>190</v>
      </c>
      <c r="B41" s="6" t="n">
        <v>10</v>
      </c>
      <c r="C41" s="7"/>
      <c r="D41" s="7"/>
      <c r="E41" s="7"/>
      <c r="F41" s="7"/>
      <c r="G41" s="7"/>
      <c r="H41" s="7"/>
      <c r="I41" s="6" t="str">
        <f aca="false">IF(COUNT(E41:H41)=0,"",SUM(E41:H41))</f>
        <v/>
      </c>
      <c r="J41" s="7"/>
    </row>
    <row r="42" customFormat="false" ht="15" hidden="false" customHeight="true" outlineLevel="0" collapsed="false">
      <c r="A42" s="6" t="s">
        <v>190</v>
      </c>
      <c r="B42" s="6" t="n">
        <v>11</v>
      </c>
      <c r="C42" s="7"/>
      <c r="D42" s="7"/>
      <c r="E42" s="7"/>
      <c r="F42" s="7"/>
      <c r="G42" s="7"/>
      <c r="H42" s="7"/>
      <c r="I42" s="6" t="str">
        <f aca="false">IF(COUNT(E42:H42)=0,"",SUM(E42:H42))</f>
        <v/>
      </c>
      <c r="J42" s="7"/>
    </row>
    <row r="43" customFormat="false" ht="15" hidden="false" customHeight="true" outlineLevel="0" collapsed="false">
      <c r="A43" s="6" t="s">
        <v>190</v>
      </c>
      <c r="B43" s="6" t="n">
        <v>12</v>
      </c>
      <c r="C43" s="7"/>
      <c r="D43" s="7"/>
      <c r="E43" s="7"/>
      <c r="F43" s="7"/>
      <c r="G43" s="7"/>
      <c r="H43" s="7"/>
      <c r="I43" s="6" t="str">
        <f aca="false">IF(COUNT(E43:H43)=0,"",SUM(E43:H43))</f>
        <v/>
      </c>
      <c r="J43" s="7"/>
    </row>
    <row r="44" customFormat="false" ht="15" hidden="false" customHeight="true" outlineLevel="0" collapsed="false">
      <c r="A44" s="6" t="s">
        <v>190</v>
      </c>
      <c r="B44" s="6" t="n">
        <v>13</v>
      </c>
      <c r="C44" s="7"/>
      <c r="D44" s="7"/>
      <c r="E44" s="7"/>
      <c r="F44" s="7"/>
      <c r="G44" s="7"/>
      <c r="H44" s="7"/>
      <c r="I44" s="6" t="str">
        <f aca="false">IF(COUNT(E44:H44)=0,"",SUM(E44:H44))</f>
        <v/>
      </c>
      <c r="J44" s="7"/>
    </row>
    <row r="45" customFormat="false" ht="15" hidden="false" customHeight="true" outlineLevel="0" collapsed="false">
      <c r="A45" s="6" t="s">
        <v>190</v>
      </c>
      <c r="B45" s="6" t="n">
        <v>14</v>
      </c>
      <c r="C45" s="7"/>
      <c r="D45" s="7"/>
      <c r="E45" s="7"/>
      <c r="F45" s="7"/>
      <c r="G45" s="7"/>
      <c r="H45" s="7"/>
      <c r="I45" s="6" t="str">
        <f aca="false">IF(COUNT(E45:H45)=0,"",SUM(E45:H45))</f>
        <v/>
      </c>
      <c r="J45" s="7"/>
    </row>
    <row r="46" customFormat="false" ht="15" hidden="false" customHeight="true" outlineLevel="0" collapsed="false">
      <c r="A46" s="6" t="s">
        <v>190</v>
      </c>
      <c r="B46" s="6" t="n">
        <v>15</v>
      </c>
      <c r="C46" s="7"/>
      <c r="D46" s="7"/>
      <c r="E46" s="7"/>
      <c r="F46" s="7"/>
      <c r="G46" s="7"/>
      <c r="H46" s="7"/>
      <c r="I46" s="6" t="str">
        <f aca="false">IF(COUNT(E46:H46)=0,"",SUM(E46:H46))</f>
        <v/>
      </c>
      <c r="J46" s="7"/>
    </row>
    <row r="47" customFormat="false" ht="15" hidden="false" customHeight="true" outlineLevel="0" collapsed="false">
      <c r="A47" s="6" t="s">
        <v>190</v>
      </c>
      <c r="B47" s="6" t="n">
        <v>16</v>
      </c>
      <c r="C47" s="7"/>
      <c r="D47" s="7"/>
      <c r="E47" s="7"/>
      <c r="F47" s="7"/>
      <c r="G47" s="7"/>
      <c r="H47" s="7"/>
      <c r="I47" s="6" t="str">
        <f aca="false">IF(COUNT(E47:H47)=0,"",SUM(E47:H47))</f>
        <v/>
      </c>
      <c r="J47" s="7"/>
    </row>
    <row r="48" customFormat="false" ht="15" hidden="false" customHeight="true" outlineLevel="0" collapsed="false">
      <c r="A48" s="6" t="s">
        <v>190</v>
      </c>
      <c r="B48" s="6" t="n">
        <v>17</v>
      </c>
      <c r="C48" s="7"/>
      <c r="D48" s="7"/>
      <c r="E48" s="7"/>
      <c r="F48" s="7"/>
      <c r="G48" s="7"/>
      <c r="H48" s="7"/>
      <c r="I48" s="6" t="str">
        <f aca="false">IF(COUNT(E48:H48)=0,"",SUM(E48:H48))</f>
        <v/>
      </c>
      <c r="J48" s="7"/>
    </row>
    <row r="49" customFormat="false" ht="15" hidden="false" customHeight="true" outlineLevel="0" collapsed="false">
      <c r="A49" s="6" t="s">
        <v>190</v>
      </c>
      <c r="B49" s="6" t="n">
        <v>18</v>
      </c>
      <c r="C49" s="7"/>
      <c r="D49" s="7"/>
      <c r="E49" s="7"/>
      <c r="F49" s="7"/>
      <c r="G49" s="7"/>
      <c r="H49" s="7"/>
      <c r="I49" s="6" t="str">
        <f aca="false">IF(COUNT(E49:H49)=0,"",SUM(E49:H49))</f>
        <v/>
      </c>
      <c r="J49" s="7"/>
    </row>
    <row r="50" customFormat="false" ht="15" hidden="false" customHeight="true" outlineLevel="0" collapsed="false">
      <c r="A50" s="6" t="s">
        <v>190</v>
      </c>
      <c r="B50" s="6" t="n">
        <v>19</v>
      </c>
      <c r="C50" s="7"/>
      <c r="D50" s="7"/>
      <c r="E50" s="7"/>
      <c r="F50" s="7"/>
      <c r="G50" s="7"/>
      <c r="H50" s="7"/>
      <c r="I50" s="6" t="str">
        <f aca="false">IF(COUNT(E50:H50)=0,"",SUM(E50:H50))</f>
        <v/>
      </c>
      <c r="J50" s="7"/>
    </row>
    <row r="51" customFormat="false" ht="15" hidden="false" customHeight="true" outlineLevel="0" collapsed="false">
      <c r="A51" s="6" t="s">
        <v>190</v>
      </c>
      <c r="B51" s="6" t="n">
        <v>20</v>
      </c>
      <c r="C51" s="7"/>
      <c r="D51" s="7"/>
      <c r="E51" s="7"/>
      <c r="F51" s="7"/>
      <c r="G51" s="7"/>
      <c r="H51" s="7"/>
      <c r="I51" s="6" t="str">
        <f aca="false">IF(COUNT(E51:H51)=0,"",SUM(E51:H51))</f>
        <v/>
      </c>
      <c r="J51" s="7"/>
    </row>
  </sheetData>
  <dataValidations count="4">
    <dataValidation allowBlank="true" errorStyle="stop" operator="between" showDropDown="false" showErrorMessage="false" showInputMessage="false" sqref="D12:D51" type="list">
      <formula1>"A,B,C,D"</formula1>
      <formula2>0</formula2>
    </dataValidation>
    <dataValidation allowBlank="true" errorStyle="stop" operator="between" showDropDown="false" showErrorMessage="false" showInputMessage="false" sqref="E12:F51" type="list">
      <formula1>"0,1"</formula1>
      <formula2>0</formula2>
    </dataValidation>
    <dataValidation allowBlank="true" errorStyle="stop" operator="between" showDropDown="false" showErrorMessage="false" showInputMessage="false" sqref="G12:G51" type="list">
      <formula1>"0,1,2"</formula1>
      <formula2>0</formula2>
    </dataValidation>
    <dataValidation allowBlank="true" errorStyle="stop" operator="between" showDropDown="false" showErrorMessage="false" showInputMessage="false" sqref="H12:H51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2026-10-28T00:46:39Z</dcterms:created>
  <dc:creator>openpyxl</dc:creator>
  <dc:description/>
  <dc:language>en-US</dc:language>
  <cp:lastModifiedBy/>
  <dcterms:modified xsi:type="dcterms:W3CDTF">2026-11-01T05:35:20Z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