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Accuracy audit" sheetId="2" state="visible" r:id="rId4"/>
    <sheet name="2 Fresh-file timing" sheetId="3" state="visible" r:id="rId5"/>
    <sheet name="3 Quiz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<sst xmlns="http://schemas.openxmlformats.org/spreadsheetml/2006/main" count="402" uniqueCount="196">
  <si>
    <t xml:space="preserve">myTutor stretch evidence workbook</t>
  </si>
  <si>
    <t xml:space="preserve">For the final 9-slide deck, due 3 Nov 2026 5:00 pm. Work the tabs in order; stop when the stop condition is met.</t>
  </si>
  <si>
    <t xml:space="preserve">How to use</t>
  </si>
  <si>
    <t xml:space="preserve">Yellow cells</t>
  </si>
  <si>
    <t xml:space="preserve">Fill these in. Grey rows are examples: overwrite or delete them. Everything else is a formula.</t>
  </si>
  <si>
    <t xml:space="preserve">Rule</t>
  </si>
  <si>
    <t xml:space="preserve">Write down the sample and the method BEFORE looking at any results (the "Pre-register" boxes).</t>
  </si>
  <si>
    <t xml:space="preserve">Tab</t>
  </si>
  <si>
    <t xml:space="preserve">What it proves · stop condition · slide it feeds</t>
  </si>
  <si>
    <t xml:space="preserve">1 Accuracy audit</t>
  </si>
  <si>
    <t xml:space="preserve">Notes say what the sources say. Stop after the pre-registered sample is fully checked with page refs. Feeds slide 8 (and 7 accuracy line).</t>
  </si>
  <si>
    <t xml:space="preserve">2 Timing replication</t>
  </si>
  <si>
    <t xml:space="preserve">The 73% saving holds on fresh files with order controlled. Stop after 4 clean files; never rush an unequal comparison. Feeds slides 3, 7, 8.</t>
  </si>
  <si>
    <t xml:space="preserve">3 Quiz quality</t>
  </si>
  <si>
    <t xml:space="preserve">The prompt fix improved distractors, not just letter balance. Score the OLD Day 9 set and a NEW set with the same rubric. Feeds slides 6, 9.</t>
  </si>
  <si>
    <t xml:space="preserve">Honest reporting</t>
  </si>
  <si>
    <t xml:space="preserve">Report numerator/denominator. Label AI-assisted checks. One learner, small samples: say "directional", not "proves".</t>
  </si>
  <si>
    <t xml:space="preserve">If time is short</t>
  </si>
  <si>
    <t xml:space="preserve">Do tab 1 only. If two, add tab 2. Tab 3 is a bonus.</t>
  </si>
  <si>
    <t xml:space="preserve">1 · Source-accuracy audit</t>
  </si>
  <si>
    <t xml:space="preserve">Check 3–4 factual claims per sampled note against the original file; record the exact page/slide.</t>
  </si>
  <si>
    <t xml:space="preserve">Pre-register (fill before checking)</t>
  </si>
  <si>
    <t xml:space="preserve">Results</t>
  </si>
  <si>
    <t xml:space="preserve">Date sample drawn</t>
  </si>
  <si>
    <t xml:space="preserve">2026-10-27 (drawn automatically by the n8n run)</t>
  </si>
  <si>
    <t xml:space="preserve">Claims checked</t>
  </si>
  <si>
    <t xml:space="preserve">Day audited (fresh, not Day 9)</t>
  </si>
  <si>
    <t xml:space="preserve">Day 10</t>
  </si>
  <si>
    <t xml:space="preserve">Supported</t>
  </si>
  <si>
    <t xml:space="preserve">Sample command</t>
  </si>
  <si>
    <t xml:space="preserve">n8n automatic run: py run.py --file --sample 10</t>
  </si>
  <si>
    <t xml:space="preserve">Unsupported</t>
  </si>
  <si>
    <t xml:space="preserve">Seed (pick before running)</t>
  </si>
  <si>
    <t xml:space="preserve">Automatic random draw by n8n, before any checking</t>
  </si>
  <si>
    <t xml:space="preserve">Interpretation</t>
  </si>
  <si>
    <t xml:space="preserve">Claims per note</t>
  </si>
  <si>
    <t xml:space="preserve">2–5 per note (30 claims in total)</t>
  </si>
  <si>
    <t xml:space="preserve">Unclear</t>
  </si>
  <si>
    <t xml:space="preserve">Reviewer</t>
  </si>
  <si>
    <t xml:space="preserve">Naw Aung (manual self-audit: author checking his own tool, no AI help)</t>
  </si>
  <si>
    <t xml:space="preserve">Supported %</t>
  </si>
  <si>
    <t xml:space="preserve">Second reviewer (optional, a subset)</t>
  </si>
  <si>
    <t xml:space="preserve">None</t>
  </si>
  <si>
    <t xml:space="preserve">Notes in sample</t>
  </si>
  <si>
    <t xml:space="preserve">Sample: 10 notes drawn at random by n8n on 27 Oct, before any checking. 8 audited (3 case, 5 core). Excluded: 2 quiz notes (Practice - MBAM601 Day 10; Quiz - Philosophy Eats AI). Reason (decided before either quiz note was opened): quiz notes hold questions rather than summary claims, and quiz quality is tested separately (tab 3). Effect: the result covers case and concept notes only. No reference notes were drawn.</t>
  </si>
  <si>
    <t xml:space="preserve">Substantive errors</t>
  </si>
  <si>
    <t xml:space="preserve">Slide line</t>
  </si>
  <si>
    <t xml:space="preserve">Note (as in quality_audit.csv)</t>
  </si>
  <si>
    <t xml:space="preserve">Note type</t>
  </si>
  <si>
    <t xml:space="preserve">Source file</t>
  </si>
  <si>
    <t xml:space="preserve">Claim (verbatim or short paraphrase)</t>
  </si>
  <si>
    <t xml:space="preserve">Source location (page / slide / line)</t>
  </si>
  <si>
    <t xml:space="preserve">Rating</t>
  </si>
  <si>
    <t xml:space="preserve">Severity</t>
  </si>
  <si>
    <t xml:space="preserve">Fix / prompt change</t>
  </si>
  <si>
    <t xml:space="preserve">2nd reviewer agrees? (Y/N)</t>
  </si>
  <si>
    <t xml:space="preserve">Case - Hewlett-Packard</t>
  </si>
  <si>
    <t xml:space="preserve">case</t>
  </si>
  <si>
    <t xml:space="preserve">The Ambidextrous CEO (HBR, June 2011)</t>
  </si>
  <si>
    <t xml:space="preserve">By 1996 HP had a successful flatbed scanner franchise, scaling rapidly to meet demand</t>
  </si>
  <si>
    <t xml:space="preserve">PDF p. 5, col. 1</t>
  </si>
  <si>
    <t xml:space="preserve">Naw Aung</t>
  </si>
  <si>
    <t xml:space="preserve">A small team several layers down built a handheld scanner prototype; flatbed-focused managers gave it no attention</t>
  </si>
  <si>
    <t xml:space="preserve">Antonio Perez intervened with $10 million to validate the portables business</t>
  </si>
  <si>
    <t xml:space="preserve">Within months the scanners unit diverted the funds; the portables team was left with no funds and no authority</t>
  </si>
  <si>
    <t xml:space="preserve">Case - Starbucks</t>
  </si>
  <si>
    <t xml:space="preserve">philosophy-eats-ai.pdf (Philosophy Eats AI, MIT SMR 2025)</t>
  </si>
  <si>
    <t xml:space="preserve">Starbucks built Deep Brew to promote what it saw as the ontological essence of its experience</t>
  </si>
  <si>
    <t xml:space="preserve">PDF p. 4, col. 1</t>
  </si>
  <si>
    <t xml:space="preserve">That essence is connection among customers and store employees, in store and online</t>
  </si>
  <si>
    <t xml:space="preserve">Digitally facilitating "connected experiences" became central to how Starbucks cultivated loyalty</t>
  </si>
  <si>
    <t xml:space="preserve">Deep Brew also supports the rewards programme</t>
  </si>
  <si>
    <t xml:space="preserve">Note omits 2019 / Kevin Johnson; omission, not error</t>
  </si>
  <si>
    <t xml:space="preserve">Case - USA Today</t>
  </si>
  <si>
    <t xml:space="preserve">The online business met 600 deadlines a day</t>
  </si>
  <si>
    <t xml:space="preserve">PDF p. 6 (HBR p. 79), col. 2</t>
  </si>
  <si>
    <t xml:space="preserve">The online team was young and web-savvy</t>
  </si>
  <si>
    <t xml:space="preserve">The online team packaged wire-service content</t>
  </si>
  <si>
    <t xml:space="preserve">Ambidextrous Leadership</t>
  </si>
  <si>
    <t xml:space="preserve">core</t>
  </si>
  <si>
    <t xml:space="preserve">CEOs push the core-versus-innovation trade-off down into the units, creating "feudal baronies"</t>
  </si>
  <si>
    <t xml:space="preserve">PDF p. 3, col. 1</t>
  </si>
  <si>
    <t xml:space="preserve">Pushing the trade-off down lets the core win</t>
  </si>
  <si>
    <t xml:space="preserve">PDF p. 5, pull quote</t>
  </si>
  <si>
    <t xml:space="preserve">Source wording: "innovation usually loses out"</t>
  </si>
  <si>
    <t xml:space="preserve">Learner's Stance - Three Shifts</t>
  </si>
  <si>
    <t xml:space="preserve">Day 10 leadership reading (Recommendations 3–4, Digital Identity Threat)</t>
  </si>
  <si>
    <t xml:space="preserve">A growth identity is needed by digital natives and non-natives alike</t>
  </si>
  <si>
    <t xml:space="preserve">PDF p. 5, col. 2</t>
  </si>
  <si>
    <t xml:space="preserve">Shift 1: from "I know it all" to learning as a sign of strength</t>
  </si>
  <si>
    <t xml:space="preserve">Shift 2: from "I need to have all the answers" to using experience to distil the right questions</t>
  </si>
  <si>
    <t xml:space="preserve">Shift 3: from "change and uncertainty make my job difficult" to the reframed stance</t>
  </si>
  <si>
    <t xml:space="preserve">The leader's job is no longer to have all the answers but to ask the right questions and stay open to new possibilities</t>
  </si>
  <si>
    <t xml:space="preserve">Positions vs Interests</t>
  </si>
  <si>
    <t xml:space="preserve">Digital change brings real costs: loss of resources, status or power</t>
  </si>
  <si>
    <t xml:space="preserve">Digital change brings loss of energy (and time)</t>
  </si>
  <si>
    <t xml:space="preserve">Costs of renegotiating expectations, dismantling structures and realigning incentives</t>
  </si>
  <si>
    <t xml:space="preserve">Leaders then dig into positions</t>
  </si>
  <si>
    <t xml:space="preserve">Source: "become more positional"</t>
  </si>
  <si>
    <t xml:space="preserve">Three Philosophical Lenses on AI</t>
  </si>
  <si>
    <t xml:space="preserve">Teleology asks what the AI should achieve (purpose)</t>
  </si>
  <si>
    <t xml:space="preserve">PDF p. 2, col. 2</t>
  </si>
  <si>
    <t xml:space="preserve">Epistemology asks what counts as knowledge</t>
  </si>
  <si>
    <t xml:space="preserve">Ontology asks how the AI represents reality and what entities it treats as meaningful</t>
  </si>
  <si>
    <t xml:space="preserve">PDF p. 2, col. 2; p. 14</t>
  </si>
  <si>
    <t xml:space="preserve">Second half matches p. 14 "what exists and how to categorize it"</t>
  </si>
  <si>
    <t xml:space="preserve">Starbucks used ontology, Amazon epistemology, and both used teleology to define loyalty</t>
  </si>
  <si>
    <t xml:space="preserve">PDF p. 4, col. 2</t>
  </si>
  <si>
    <t xml:space="preserve">Zoom-In Zoom-Out Strategizing</t>
  </si>
  <si>
    <t xml:space="preserve">How Digital Leadership Is(n't) Different</t>
  </si>
  <si>
    <t xml:space="preserve">Called zoom-in/zoom-out strategizing by many in Silicon Valley</t>
  </si>
  <si>
    <t xml:space="preserve">p. 39 (printed), col. 2</t>
  </si>
  <si>
    <t xml:space="preserve">Executives forecast the industry 10 years ahead, then plot moves for the next 12 to 18 months</t>
  </si>
  <si>
    <t xml:space="preserve">It will not predict accurately but avoids strategising for the current digital environment</t>
  </si>
  <si>
    <t xml:space="preserve">Run within continuing education sessions, guided by facilitators with deep digital knowledge</t>
  </si>
  <si>
    <t xml:space="preserve">2 · Fresh-file timing (each file processed one way only)</t>
  </si>
  <si>
    <t xml:space="preserve">A and C by hand, B and D with myTutor. Assign files to letters BEFORE opening any. Compare minutes per 1,000 words.</t>
  </si>
  <si>
    <t xml:space="preserve">Date</t>
  </si>
  <si>
    <t xml:space="preserve">2026-11-01</t>
  </si>
  <si>
    <t xml:space="preserve">Where the 4 files come from</t>
  </si>
  <si>
    <t xml:space="preserve">Readings downloaded from the course portal, unopened. WDHB report split into pp 6–10 (B) and pp 27–30 (C). Excluded before timing: CrowdStrike report (scanned, no text; no OCR) and risk-appetite template (433 words, too short).</t>
  </si>
  <si>
    <t xml:space="preserve">Manual clock rule</t>
  </si>
  <si>
    <t xml:space="preserve">Same as baseline: open file → notes filed and linked in Obsidian</t>
  </si>
  <si>
    <t xml:space="preserve">myTutor clock rule</t>
  </si>
  <si>
    <t xml:space="preserve">Whole logged run (122.4 s for B + D together, split evenly) + my timed review of all 17 notes in Obsidian: open every note, click at least one link, skim properties (2.35 min, split evenly)</t>
  </si>
  <si>
    <t xml:space="preserve">generate.py version</t>
  </si>
  <si>
    <t xml:space="preserve">Improved quiz prompt (28 Oct), copied into working folder before the run</t>
  </si>
  <si>
    <t xml:space="preserve">File</t>
  </si>
  <si>
    <t xml:space="preserve">File name</t>
  </si>
  <si>
    <t xml:space="preserve">Type</t>
  </si>
  <si>
    <t xml:space="preserve">Words</t>
  </si>
  <si>
    <t xml:space="preserve">Method</t>
  </si>
  <si>
    <t xml:space="preserve">Machine minutes (myTutor full run, from log)</t>
  </si>
  <si>
    <t xml:space="preserve">My active minutes (manual work, or review)</t>
  </si>
  <si>
    <t xml:space="preserve">Total minutes</t>
  </si>
  <si>
    <t xml:space="preserve">Notes made</t>
  </si>
  <si>
    <t xml:space="preserve">Minutes per 1,000 words</t>
  </si>
  <si>
    <t xml:space="preserve">Same checklist? (Y/N)</t>
  </si>
  <si>
    <t xml:space="preserve">Remarks</t>
  </si>
  <si>
    <t xml:space="preserve">A</t>
  </si>
  <si>
    <t xml:space="preserve">A - NCSC Impact of AI on cyber threat to 2027.pdf</t>
  </si>
  <si>
    <t xml:space="preserve">reading</t>
  </si>
  <si>
    <t xml:space="preserve">By hand</t>
  </si>
  <si>
    <t xml:space="preserve">Y</t>
  </si>
  <si>
    <t xml:space="preserve">8.17 min + 0.5 min to add the PDF link; 5 of 7 notes pass all 5 checks</t>
  </si>
  <si>
    <t xml:space="preserve">B</t>
  </si>
  <si>
    <t xml:space="preserve">B - WDHB Final Report (pp 6-10).pdf</t>
  </si>
  <si>
    <t xml:space="preserve">report</t>
  </si>
  <si>
    <t xml:space="preserve">myTutor</t>
  </si>
  <si>
    <t xml:space="preserve">17/17 myTutor notes pass (B + D); 10 sampled notes also passed automatic checks</t>
  </si>
  <si>
    <t xml:space="preserve">C</t>
  </si>
  <si>
    <t xml:space="preserve">C - WDHB Final Report (pp 27-30).pdf</t>
  </si>
  <si>
    <t xml:space="preserve">7 of 7 notes pass; done last, after reviewing B</t>
  </si>
  <si>
    <t xml:space="preserve">D</t>
  </si>
  <si>
    <t xml:space="preserve">D - Updated CRS deck.pdf</t>
  </si>
  <si>
    <t xml:space="preserve">slides</t>
  </si>
  <si>
    <t xml:space="preserve">see B</t>
  </si>
  <si>
    <t xml:space="preserve">By hand: minutes per 1,000 words (A + C, from totals)</t>
  </si>
  <si>
    <t xml:space="preserve">myTutor: minutes per 1,000 words (B + D, from totals)</t>
  </si>
  <si>
    <t xml:space="preserve">Fresh-file saving per 1,000 words</t>
  </si>
  <si>
    <t xml:space="preserve">Original Day 9 test: by hand, min per 1,000 words</t>
  </si>
  <si>
    <t xml:space="preserve">Source: final deck slide 7 (44.5 min ÷ 15,212 words; 12.3 min ÷ 15,212 words)</t>
  </si>
  <si>
    <t xml:space="preserve">Original Day 9 test: myTutor full run + review, min per 1,000 words</t>
  </si>
  <si>
    <t xml:space="preserve">Original saving</t>
  </si>
  <si>
    <t xml:space="preserve">3 · Quiz-quality retest (same rubric for old and new set)</t>
  </si>
  <si>
    <t xml:space="preserve">5 points per question × 20 = 100. Score the old Day 9 set too, so the comparison is like-for-like.</t>
  </si>
  <si>
    <t xml:space="preserve">Rubric</t>
  </si>
  <si>
    <t xml:space="preserve">Correct answer unambiguous</t>
  </si>
  <si>
    <t xml:space="preserve">0 or 1</t>
  </si>
  <si>
    <t xml:space="preserve">Matches the source note</t>
  </si>
  <si>
    <t xml:space="preserve">Distractor plausibility</t>
  </si>
  <si>
    <t xml:space="preserve">0 = any absurd/give-away option · 1 = mixed · 2 = all wrong options plausible (related theory, real misconception)</t>
  </si>
  <si>
    <t xml:space="preserve">Thinking level</t>
  </si>
  <si>
    <t xml:space="preserve">0 = recall · 1 = application or analysis</t>
  </si>
  <si>
    <t xml:space="preserve">Note: the earlier 72/100 came from an AI review with a different rubric, so compare old vs new on THIS rubric, not against 72.</t>
  </si>
  <si>
    <t xml:space="preserve">Result used in the deck (1 Nov): the 20-question Day 11 set (new prompt, 4 fresh files) was rated by an AI review, the same kind of review that gave the Day 9 set 72/100. Day 11: 76/100 (17 of 20 questions rated individually). Strong source grounding and scenarios; still weak distractors, longer correct answers, one cross-question clue. Stored answer letters A 35%, B 20%, C 40%, D 5% (the practice page shuffles positions). Next fix: an automatic quality-check step. The rubric below was not used.</t>
  </si>
  <si>
    <t xml:space="preserve">Set</t>
  </si>
  <si>
    <t xml:space="preserve">Q#</t>
  </si>
  <si>
    <t xml:space="preserve">Question (first words)</t>
  </si>
  <si>
    <t xml:space="preserve">Correct letter</t>
  </si>
  <si>
    <t xml:space="preserve">Unambiguous (0-1)</t>
  </si>
  <si>
    <t xml:space="preserve">Source match (0-1)</t>
  </si>
  <si>
    <t xml:space="preserve">Distractors (0-2)</t>
  </si>
  <si>
    <t xml:space="preserve">Level (0-1)</t>
  </si>
  <si>
    <t xml:space="preserve">Item score</t>
  </si>
  <si>
    <t xml:space="preserve">Weakness / comment</t>
  </si>
  <si>
    <t xml:space="preserve">Summary</t>
  </si>
  <si>
    <t xml:space="preserve">Day 9 original</t>
  </si>
  <si>
    <t xml:space="preserve">New set</t>
  </si>
  <si>
    <t xml:space="preserve">Total /100</t>
  </si>
  <si>
    <t xml:space="preserve">Distractor points /40</t>
  </si>
  <si>
    <t xml:space="preserve">Application/analysis items /20</t>
  </si>
  <si>
    <t xml:space="preserve">Unambiguous /20</t>
  </si>
  <si>
    <t xml:space="preserve">Share of answers = B</t>
  </si>
  <si>
    <t xml:space="preserve">Questions scored</t>
  </si>
  <si>
    <t xml:space="preserve">Score as % (comparable if counts differ)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</si>
</sst>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2B2725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5" t="s">
        <v>6</v>
      </c>
    </row>
    <row r="7" customFormat="false" ht="15" hidden="false" customHeight="true" outlineLevel="0" collapsed="false">
      <c r="A7" s="6"/>
      <c r="B7" s="5"/>
    </row>
    <row r="8" customFormat="false" ht="15" hidden="false" customHeight="true" outlineLevel="0" collapsed="false">
      <c r="A8" s="4" t="s">
        <v>7</v>
      </c>
      <c r="B8" s="5" t="s">
        <v>8</v>
      </c>
    </row>
    <row r="9" customFormat="false" ht="26.25" hidden="false" customHeight="true" outlineLevel="0" collapsed="false">
      <c r="A9" s="6" t="s">
        <v>9</v>
      </c>
      <c r="B9" s="5" t="s">
        <v>10</v>
      </c>
    </row>
    <row r="10" customFormat="false" ht="26.25" hidden="false" customHeight="true" outlineLevel="0" collapsed="false">
      <c r="A10" s="6" t="s">
        <v>11</v>
      </c>
      <c r="B10" s="5" t="s">
        <v>12</v>
      </c>
    </row>
    <row r="11" customFormat="false" ht="26.25" hidden="false" customHeight="true" outlineLevel="0" collapsed="false">
      <c r="A11" s="6" t="s">
        <v>13</v>
      </c>
      <c r="B11" s="5" t="s">
        <v>14</v>
      </c>
    </row>
    <row r="12" customFormat="false" ht="15" hidden="false" customHeight="true" outlineLevel="0" collapsed="false">
      <c r="A12" s="6"/>
      <c r="B12" s="5"/>
    </row>
    <row r="13" customFormat="false" ht="15" hidden="false" customHeight="true" outlineLevel="0" collapsed="false">
      <c r="A13" s="6" t="s">
        <v>15</v>
      </c>
      <c r="B13" s="5" t="s">
        <v>16</v>
      </c>
    </row>
    <row r="14" customFormat="false" ht="15" hidden="false" customHeight="true" outlineLevel="0" collapsed="false">
      <c r="A14" s="6" t="s">
        <v>17</v>
      </c>
      <c r="B1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48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24"/>
    <col collapsed="false" customWidth="true" hidden="false" outlineLevel="0" max="8" min="8" style="1" width="30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4" t="s">
        <v>21</v>
      </c>
      <c r="G4" s="4" t="s">
        <v>22</v>
      </c>
    </row>
    <row r="5" customFormat="false" ht="15" hidden="false" customHeight="true" outlineLevel="0" collapsed="false">
      <c r="A5" s="6" t="s">
        <v>23</v>
      </c>
      <c r="B5" s="7" t="s">
        <v>24</v>
      </c>
      <c r="C5" s="7"/>
      <c r="D5" s="7"/>
      <c r="E5" s="7"/>
      <c r="G5" s="6" t="s">
        <v>25</v>
      </c>
      <c r="H5" s="8" t="n">
        <f aca="false">COUNTA(F15:F214)</f>
        <v>30</v>
      </c>
    </row>
    <row r="6" customFormat="false" ht="15" hidden="false" customHeight="true" outlineLevel="0" collapsed="false">
      <c r="A6" s="6" t="s">
        <v>26</v>
      </c>
      <c r="B6" s="7" t="s">
        <v>27</v>
      </c>
      <c r="C6" s="7"/>
      <c r="D6" s="7"/>
      <c r="E6" s="7"/>
      <c r="G6" s="6" t="s">
        <v>28</v>
      </c>
      <c r="H6" s="8" t="n">
        <f aca="false">COUNTIF(F15:F214,"Supported")</f>
        <v>30</v>
      </c>
    </row>
    <row r="7" customFormat="false" ht="15" hidden="false" customHeight="true" outlineLevel="0" collapsed="false">
      <c r="A7" s="6" t="s">
        <v>29</v>
      </c>
      <c r="B7" s="7" t="s">
        <v>30</v>
      </c>
      <c r="C7" s="7"/>
      <c r="D7" s="7"/>
      <c r="E7" s="7"/>
      <c r="G7" s="6" t="s">
        <v>31</v>
      </c>
      <c r="H7" s="8" t="n">
        <f aca="false">COUNTIF(F15:F214,"Unsupported")</f>
        <v>0</v>
      </c>
    </row>
    <row r="8" customFormat="false" ht="15" hidden="false" customHeight="true" outlineLevel="0" collapsed="false">
      <c r="A8" s="6" t="s">
        <v>32</v>
      </c>
      <c r="B8" s="7" t="s">
        <v>33</v>
      </c>
      <c r="C8" s="7"/>
      <c r="D8" s="7"/>
      <c r="E8" s="7"/>
      <c r="G8" s="6" t="s">
        <v>34</v>
      </c>
      <c r="H8" s="8" t="n">
        <f aca="false">COUNTIF(F15:F214,"Interpretation")</f>
        <v>0</v>
      </c>
    </row>
    <row r="9" customFormat="false" ht="15" hidden="false" customHeight="true" outlineLevel="0" collapsed="false">
      <c r="A9" s="6" t="s">
        <v>35</v>
      </c>
      <c r="B9" s="7" t="s">
        <v>36</v>
      </c>
      <c r="C9" s="7"/>
      <c r="D9" s="7"/>
      <c r="E9" s="7"/>
      <c r="G9" s="6" t="s">
        <v>37</v>
      </c>
      <c r="H9" s="8" t="n">
        <f aca="false">COUNTIF(F15:F214,"Unclear")</f>
        <v>0</v>
      </c>
    </row>
    <row r="10" customFormat="false" ht="15" hidden="false" customHeight="true" outlineLevel="0" collapsed="false">
      <c r="A10" s="6" t="s">
        <v>38</v>
      </c>
      <c r="B10" s="7" t="s">
        <v>39</v>
      </c>
      <c r="C10" s="7"/>
      <c r="D10" s="7"/>
      <c r="E10" s="7"/>
      <c r="G10" s="6" t="s">
        <v>40</v>
      </c>
      <c r="H10" s="9" t="n">
        <f aca="false">IFERROR(H6/H5,"")</f>
        <v>1</v>
      </c>
    </row>
    <row r="11" customFormat="false" ht="15" hidden="false" customHeight="true" outlineLevel="0" collapsed="false">
      <c r="A11" s="6" t="s">
        <v>41</v>
      </c>
      <c r="B11" s="7" t="s">
        <v>42</v>
      </c>
      <c r="C11" s="7"/>
      <c r="D11" s="7"/>
      <c r="E11" s="7"/>
      <c r="G11" s="6" t="s">
        <v>43</v>
      </c>
      <c r="H11" s="8" t="n">
        <f aca="false">SUMPRODUCT((A15:A214&lt;&gt;"")/COUNTIF(A15:A214,A15:A214&amp;""))</f>
        <v>8</v>
      </c>
    </row>
    <row r="12" customFormat="false" ht="15" hidden="false" customHeight="true" outlineLevel="0" collapsed="false">
      <c r="A12" s="3" t="s">
        <v>44</v>
      </c>
      <c r="G12" s="6" t="s">
        <v>45</v>
      </c>
      <c r="H12" s="8" t="n">
        <f aca="false">COUNTIF(G15:G214,"Substantive misinformation")</f>
        <v>0</v>
      </c>
    </row>
    <row r="13" customFormat="false" ht="15" hidden="false" customHeight="true" outlineLevel="0" collapsed="false">
      <c r="G13" s="4" t="s">
        <v>46</v>
      </c>
      <c r="H13" s="1" t="str">
        <f aca="false">IF(H5=0,"","Manual self-audit (Day 10, by Naw Aung): "&amp;H6&amp;" of "&amp;H5&amp;" claims supported ("&amp;TEXT(H10,"0%")&amp;") across "&amp;H11&amp;" notes (3 case, 5 core) drawn at random by n8n, "&amp;H12&amp;" substantive errors; each checked against the source page. 2 quiz notes in the sample were excluded.")</f>
        <v>Manual self-audit (Day 10, by Naw Aung): 30 of 30 claims supported (100%) across 8 notes (3 case, 5 core) drawn at random by n8n, 0 substantive errors; each checked against the source page. 2 quiz notes in the sample were excluded.</v>
      </c>
    </row>
    <row r="14" customFormat="false" ht="31.5" hidden="false" customHeight="true" outlineLevel="0" collapsed="false">
      <c r="A14" s="10" t="s">
        <v>47</v>
      </c>
      <c r="B14" s="10" t="s">
        <v>48</v>
      </c>
      <c r="C14" s="10" t="s">
        <v>49</v>
      </c>
      <c r="D14" s="10" t="s">
        <v>50</v>
      </c>
      <c r="E14" s="10" t="s">
        <v>51</v>
      </c>
      <c r="F14" s="10" t="s">
        <v>52</v>
      </c>
      <c r="G14" s="10" t="s">
        <v>53</v>
      </c>
      <c r="H14" s="10" t="s">
        <v>54</v>
      </c>
      <c r="I14" s="10" t="s">
        <v>38</v>
      </c>
      <c r="J14" s="10" t="s">
        <v>55</v>
      </c>
    </row>
    <row r="15" customFormat="false" ht="15" hidden="false" customHeight="true" outlineLevel="0" collapsed="false">
      <c r="A15" s="7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7" t="s">
        <v>28</v>
      </c>
      <c r="G15" s="7"/>
      <c r="H15" s="7"/>
      <c r="I15" s="7" t="s">
        <v>61</v>
      </c>
      <c r="J15" s="7"/>
    </row>
    <row r="16" customFormat="false" ht="15" hidden="false" customHeight="true" outlineLevel="0" collapsed="false">
      <c r="A16" s="7" t="s">
        <v>56</v>
      </c>
      <c r="B16" s="7" t="s">
        <v>57</v>
      </c>
      <c r="C16" s="7" t="s">
        <v>58</v>
      </c>
      <c r="D16" s="7" t="s">
        <v>62</v>
      </c>
      <c r="E16" s="7" t="s">
        <v>60</v>
      </c>
      <c r="F16" s="7" t="s">
        <v>28</v>
      </c>
      <c r="G16" s="7"/>
      <c r="H16" s="7"/>
      <c r="I16" s="7" t="s">
        <v>61</v>
      </c>
      <c r="J16" s="7"/>
    </row>
    <row r="17" customFormat="false" ht="15" hidden="false" customHeight="true" outlineLevel="0" collapsed="false">
      <c r="A17" s="7" t="s">
        <v>56</v>
      </c>
      <c r="B17" s="7" t="s">
        <v>57</v>
      </c>
      <c r="C17" s="7" t="s">
        <v>58</v>
      </c>
      <c r="D17" s="7" t="s">
        <v>63</v>
      </c>
      <c r="E17" s="7" t="s">
        <v>60</v>
      </c>
      <c r="F17" s="7" t="s">
        <v>28</v>
      </c>
      <c r="G17" s="7"/>
      <c r="H17" s="7"/>
      <c r="I17" s="7" t="s">
        <v>61</v>
      </c>
      <c r="J17" s="7"/>
    </row>
    <row r="18" customFormat="false" ht="15" hidden="false" customHeight="true" outlineLevel="0" collapsed="false">
      <c r="A18" s="7" t="s">
        <v>56</v>
      </c>
      <c r="B18" s="7" t="s">
        <v>57</v>
      </c>
      <c r="C18" s="7" t="s">
        <v>58</v>
      </c>
      <c r="D18" s="7" t="s">
        <v>64</v>
      </c>
      <c r="E18" s="7" t="s">
        <v>60</v>
      </c>
      <c r="F18" s="7" t="s">
        <v>28</v>
      </c>
      <c r="G18" s="7"/>
      <c r="H18" s="7"/>
      <c r="I18" s="7" t="s">
        <v>61</v>
      </c>
      <c r="J18" s="7"/>
    </row>
    <row r="19" customFormat="false" ht="15" hidden="false" customHeight="true" outlineLevel="0" collapsed="false">
      <c r="A19" s="7" t="s">
        <v>65</v>
      </c>
      <c r="B19" s="7" t="s">
        <v>57</v>
      </c>
      <c r="C19" s="7" t="s">
        <v>66</v>
      </c>
      <c r="D19" s="7" t="s">
        <v>67</v>
      </c>
      <c r="E19" s="7" t="s">
        <v>68</v>
      </c>
      <c r="F19" s="7" t="s">
        <v>28</v>
      </c>
      <c r="G19" s="7"/>
      <c r="H19" s="7"/>
      <c r="I19" s="7" t="s">
        <v>61</v>
      </c>
      <c r="J19" s="7"/>
    </row>
    <row r="20" customFormat="false" ht="15" hidden="false" customHeight="true" outlineLevel="0" collapsed="false">
      <c r="A20" s="7" t="s">
        <v>65</v>
      </c>
      <c r="B20" s="7" t="s">
        <v>57</v>
      </c>
      <c r="C20" s="7" t="s">
        <v>66</v>
      </c>
      <c r="D20" s="7" t="s">
        <v>69</v>
      </c>
      <c r="E20" s="7" t="s">
        <v>68</v>
      </c>
      <c r="F20" s="7" t="s">
        <v>28</v>
      </c>
      <c r="G20" s="7"/>
      <c r="H20" s="7"/>
      <c r="I20" s="7" t="s">
        <v>61</v>
      </c>
      <c r="J20" s="7"/>
    </row>
    <row r="21" customFormat="false" ht="15" hidden="false" customHeight="true" outlineLevel="0" collapsed="false">
      <c r="A21" s="7" t="s">
        <v>65</v>
      </c>
      <c r="B21" s="7" t="s">
        <v>57</v>
      </c>
      <c r="C21" s="7" t="s">
        <v>66</v>
      </c>
      <c r="D21" s="7" t="s">
        <v>70</v>
      </c>
      <c r="E21" s="7" t="s">
        <v>68</v>
      </c>
      <c r="F21" s="7" t="s">
        <v>28</v>
      </c>
      <c r="G21" s="7"/>
      <c r="H21" s="7"/>
      <c r="I21" s="7" t="s">
        <v>61</v>
      </c>
      <c r="J21" s="7"/>
    </row>
    <row r="22" customFormat="false" ht="15" hidden="false" customHeight="true" outlineLevel="0" collapsed="false">
      <c r="A22" s="7" t="s">
        <v>65</v>
      </c>
      <c r="B22" s="7" t="s">
        <v>57</v>
      </c>
      <c r="C22" s="7" t="s">
        <v>66</v>
      </c>
      <c r="D22" s="7" t="s">
        <v>71</v>
      </c>
      <c r="E22" s="7" t="s">
        <v>68</v>
      </c>
      <c r="F22" s="7" t="s">
        <v>28</v>
      </c>
      <c r="G22" s="7"/>
      <c r="H22" s="7" t="s">
        <v>72</v>
      </c>
      <c r="I22" s="7" t="s">
        <v>61</v>
      </c>
      <c r="J22" s="7"/>
    </row>
    <row r="23" customFormat="false" ht="15" hidden="false" customHeight="true" outlineLevel="0" collapsed="false">
      <c r="A23" s="7" t="s">
        <v>73</v>
      </c>
      <c r="B23" s="7" t="s">
        <v>57</v>
      </c>
      <c r="C23" s="7" t="s">
        <v>58</v>
      </c>
      <c r="D23" s="7" t="s">
        <v>74</v>
      </c>
      <c r="E23" s="7" t="s">
        <v>75</v>
      </c>
      <c r="F23" s="7" t="s">
        <v>28</v>
      </c>
      <c r="G23" s="7"/>
      <c r="H23" s="7"/>
      <c r="I23" s="7" t="s">
        <v>61</v>
      </c>
      <c r="J23" s="7"/>
    </row>
    <row r="24" customFormat="false" ht="15" hidden="false" customHeight="true" outlineLevel="0" collapsed="false">
      <c r="A24" s="7" t="s">
        <v>73</v>
      </c>
      <c r="B24" s="7" t="s">
        <v>57</v>
      </c>
      <c r="C24" s="7" t="s">
        <v>58</v>
      </c>
      <c r="D24" s="7" t="s">
        <v>76</v>
      </c>
      <c r="E24" s="7" t="s">
        <v>75</v>
      </c>
      <c r="F24" s="7" t="s">
        <v>28</v>
      </c>
      <c r="G24" s="7"/>
      <c r="H24" s="7"/>
      <c r="I24" s="7" t="s">
        <v>61</v>
      </c>
      <c r="J24" s="7"/>
    </row>
    <row r="25" customFormat="false" ht="15" hidden="false" customHeight="true" outlineLevel="0" collapsed="false">
      <c r="A25" s="7" t="s">
        <v>73</v>
      </c>
      <c r="B25" s="7" t="s">
        <v>57</v>
      </c>
      <c r="C25" s="7" t="s">
        <v>58</v>
      </c>
      <c r="D25" s="7" t="s">
        <v>77</v>
      </c>
      <c r="E25" s="7" t="s">
        <v>75</v>
      </c>
      <c r="F25" s="7" t="s">
        <v>28</v>
      </c>
      <c r="G25" s="7"/>
      <c r="H25" s="7"/>
      <c r="I25" s="7" t="s">
        <v>61</v>
      </c>
      <c r="J25" s="7"/>
    </row>
    <row r="26" customFormat="false" ht="15" hidden="false" customHeight="true" outlineLevel="0" collapsed="false">
      <c r="A26" s="7" t="s">
        <v>78</v>
      </c>
      <c r="B26" s="7" t="s">
        <v>79</v>
      </c>
      <c r="C26" s="7" t="s">
        <v>58</v>
      </c>
      <c r="D26" s="7" t="s">
        <v>80</v>
      </c>
      <c r="E26" s="7" t="s">
        <v>81</v>
      </c>
      <c r="F26" s="7" t="s">
        <v>28</v>
      </c>
      <c r="G26" s="7"/>
      <c r="H26" s="7"/>
      <c r="I26" s="7" t="s">
        <v>61</v>
      </c>
      <c r="J26" s="7"/>
    </row>
    <row r="27" customFormat="false" ht="15" hidden="false" customHeight="true" outlineLevel="0" collapsed="false">
      <c r="A27" s="7" t="s">
        <v>78</v>
      </c>
      <c r="B27" s="7" t="s">
        <v>79</v>
      </c>
      <c r="C27" s="7" t="s">
        <v>58</v>
      </c>
      <c r="D27" s="7" t="s">
        <v>82</v>
      </c>
      <c r="E27" s="7" t="s">
        <v>83</v>
      </c>
      <c r="F27" s="7" t="s">
        <v>28</v>
      </c>
      <c r="G27" s="7"/>
      <c r="H27" s="7" t="s">
        <v>84</v>
      </c>
      <c r="I27" s="7" t="s">
        <v>61</v>
      </c>
      <c r="J27" s="7"/>
    </row>
    <row r="28" customFormat="false" ht="15" hidden="false" customHeight="true" outlineLevel="0" collapsed="false">
      <c r="A28" s="7" t="s">
        <v>85</v>
      </c>
      <c r="B28" s="7" t="s">
        <v>79</v>
      </c>
      <c r="C28" s="7" t="s">
        <v>86</v>
      </c>
      <c r="D28" s="7" t="s">
        <v>87</v>
      </c>
      <c r="E28" s="7" t="s">
        <v>88</v>
      </c>
      <c r="F28" s="7" t="s">
        <v>28</v>
      </c>
      <c r="G28" s="7"/>
      <c r="H28" s="7"/>
      <c r="I28" s="7" t="s">
        <v>61</v>
      </c>
      <c r="J28" s="7"/>
    </row>
    <row r="29" customFormat="false" ht="15" hidden="false" customHeight="true" outlineLevel="0" collapsed="false">
      <c r="A29" s="7" t="s">
        <v>85</v>
      </c>
      <c r="B29" s="7" t="s">
        <v>79</v>
      </c>
      <c r="C29" s="7" t="s">
        <v>86</v>
      </c>
      <c r="D29" s="7" t="s">
        <v>89</v>
      </c>
      <c r="E29" s="7" t="s">
        <v>88</v>
      </c>
      <c r="F29" s="7" t="s">
        <v>28</v>
      </c>
      <c r="G29" s="7"/>
      <c r="H29" s="7"/>
      <c r="I29" s="7" t="s">
        <v>61</v>
      </c>
      <c r="J29" s="7"/>
    </row>
    <row r="30" customFormat="false" ht="15" hidden="false" customHeight="true" outlineLevel="0" collapsed="false">
      <c r="A30" s="7" t="s">
        <v>85</v>
      </c>
      <c r="B30" s="7" t="s">
        <v>79</v>
      </c>
      <c r="C30" s="7" t="s">
        <v>86</v>
      </c>
      <c r="D30" s="7" t="s">
        <v>90</v>
      </c>
      <c r="E30" s="7" t="s">
        <v>88</v>
      </c>
      <c r="F30" s="7" t="s">
        <v>28</v>
      </c>
      <c r="G30" s="7"/>
      <c r="H30" s="7"/>
      <c r="I30" s="7" t="s">
        <v>61</v>
      </c>
      <c r="J30" s="7"/>
    </row>
    <row r="31" customFormat="false" ht="15" hidden="false" customHeight="true" outlineLevel="0" collapsed="false">
      <c r="A31" s="7" t="s">
        <v>85</v>
      </c>
      <c r="B31" s="7" t="s">
        <v>79</v>
      </c>
      <c r="C31" s="7" t="s">
        <v>86</v>
      </c>
      <c r="D31" s="7" t="s">
        <v>91</v>
      </c>
      <c r="E31" s="7" t="s">
        <v>88</v>
      </c>
      <c r="F31" s="7" t="s">
        <v>28</v>
      </c>
      <c r="G31" s="7"/>
      <c r="H31" s="7"/>
      <c r="I31" s="7" t="s">
        <v>61</v>
      </c>
      <c r="J31" s="7"/>
    </row>
    <row r="32" customFormat="false" ht="15" hidden="false" customHeight="true" outlineLevel="0" collapsed="false">
      <c r="A32" s="7" t="s">
        <v>85</v>
      </c>
      <c r="B32" s="7" t="s">
        <v>79</v>
      </c>
      <c r="C32" s="7" t="s">
        <v>86</v>
      </c>
      <c r="D32" s="7" t="s">
        <v>92</v>
      </c>
      <c r="E32" s="7" t="s">
        <v>81</v>
      </c>
      <c r="F32" s="7" t="s">
        <v>28</v>
      </c>
      <c r="G32" s="7"/>
      <c r="H32" s="7"/>
      <c r="I32" s="7" t="s">
        <v>61</v>
      </c>
      <c r="J32" s="7"/>
    </row>
    <row r="33" customFormat="false" ht="15" hidden="false" customHeight="true" outlineLevel="0" collapsed="false">
      <c r="A33" s="7" t="s">
        <v>93</v>
      </c>
      <c r="B33" s="7" t="s">
        <v>79</v>
      </c>
      <c r="C33" s="7" t="s">
        <v>86</v>
      </c>
      <c r="D33" s="7" t="s">
        <v>94</v>
      </c>
      <c r="E33" s="7" t="s">
        <v>60</v>
      </c>
      <c r="F33" s="7" t="s">
        <v>28</v>
      </c>
      <c r="G33" s="7"/>
      <c r="H33" s="7"/>
      <c r="I33" s="7" t="s">
        <v>61</v>
      </c>
      <c r="J33" s="7"/>
    </row>
    <row r="34" customFormat="false" ht="15" hidden="false" customHeight="true" outlineLevel="0" collapsed="false">
      <c r="A34" s="7" t="s">
        <v>93</v>
      </c>
      <c r="B34" s="7" t="s">
        <v>79</v>
      </c>
      <c r="C34" s="7" t="s">
        <v>86</v>
      </c>
      <c r="D34" s="7" t="s">
        <v>95</v>
      </c>
      <c r="E34" s="7" t="s">
        <v>60</v>
      </c>
      <c r="F34" s="7" t="s">
        <v>28</v>
      </c>
      <c r="G34" s="7"/>
      <c r="H34" s="7"/>
      <c r="I34" s="7" t="s">
        <v>61</v>
      </c>
      <c r="J34" s="7"/>
    </row>
    <row r="35" customFormat="false" ht="15" hidden="false" customHeight="true" outlineLevel="0" collapsed="false">
      <c r="A35" s="7" t="s">
        <v>93</v>
      </c>
      <c r="B35" s="7" t="s">
        <v>79</v>
      </c>
      <c r="C35" s="7" t="s">
        <v>86</v>
      </c>
      <c r="D35" s="7" t="s">
        <v>96</v>
      </c>
      <c r="E35" s="7" t="s">
        <v>60</v>
      </c>
      <c r="F35" s="7" t="s">
        <v>28</v>
      </c>
      <c r="G35" s="7"/>
      <c r="H35" s="7"/>
      <c r="I35" s="7" t="s">
        <v>61</v>
      </c>
      <c r="J35" s="7"/>
    </row>
    <row r="36" customFormat="false" ht="15" hidden="false" customHeight="true" outlineLevel="0" collapsed="false">
      <c r="A36" s="7" t="s">
        <v>93</v>
      </c>
      <c r="B36" s="7" t="s">
        <v>79</v>
      </c>
      <c r="C36" s="7" t="s">
        <v>86</v>
      </c>
      <c r="D36" s="7" t="s">
        <v>97</v>
      </c>
      <c r="E36" s="7" t="s">
        <v>60</v>
      </c>
      <c r="F36" s="7" t="s">
        <v>28</v>
      </c>
      <c r="G36" s="7"/>
      <c r="H36" s="7" t="s">
        <v>98</v>
      </c>
      <c r="I36" s="7" t="s">
        <v>61</v>
      </c>
      <c r="J36" s="7"/>
    </row>
    <row r="37" customFormat="false" ht="15" hidden="false" customHeight="true" outlineLevel="0" collapsed="false">
      <c r="A37" s="7" t="s">
        <v>99</v>
      </c>
      <c r="B37" s="7" t="s">
        <v>79</v>
      </c>
      <c r="C37" s="7" t="s">
        <v>66</v>
      </c>
      <c r="D37" s="7" t="s">
        <v>100</v>
      </c>
      <c r="E37" s="7" t="s">
        <v>101</v>
      </c>
      <c r="F37" s="7" t="s">
        <v>28</v>
      </c>
      <c r="G37" s="7"/>
      <c r="H37" s="7"/>
      <c r="I37" s="7" t="s">
        <v>61</v>
      </c>
      <c r="J37" s="7"/>
    </row>
    <row r="38" customFormat="false" ht="15" hidden="false" customHeight="true" outlineLevel="0" collapsed="false">
      <c r="A38" s="7" t="s">
        <v>99</v>
      </c>
      <c r="B38" s="7" t="s">
        <v>79</v>
      </c>
      <c r="C38" s="7" t="s">
        <v>66</v>
      </c>
      <c r="D38" s="7" t="s">
        <v>102</v>
      </c>
      <c r="E38" s="7" t="s">
        <v>101</v>
      </c>
      <c r="F38" s="7" t="s">
        <v>28</v>
      </c>
      <c r="G38" s="7"/>
      <c r="H38" s="7"/>
      <c r="I38" s="7" t="s">
        <v>61</v>
      </c>
      <c r="J38" s="7"/>
    </row>
    <row r="39" customFormat="false" ht="15" hidden="false" customHeight="true" outlineLevel="0" collapsed="false">
      <c r="A39" s="7" t="s">
        <v>99</v>
      </c>
      <c r="B39" s="7" t="s">
        <v>79</v>
      </c>
      <c r="C39" s="7" t="s">
        <v>66</v>
      </c>
      <c r="D39" s="7" t="s">
        <v>103</v>
      </c>
      <c r="E39" s="7" t="s">
        <v>104</v>
      </c>
      <c r="F39" s="7" t="s">
        <v>28</v>
      </c>
      <c r="G39" s="7"/>
      <c r="H39" s="7" t="s">
        <v>105</v>
      </c>
      <c r="I39" s="7" t="s">
        <v>61</v>
      </c>
      <c r="J39" s="7"/>
    </row>
    <row r="40" customFormat="false" ht="15" hidden="false" customHeight="true" outlineLevel="0" collapsed="false">
      <c r="A40" s="7" t="s">
        <v>99</v>
      </c>
      <c r="B40" s="7" t="s">
        <v>79</v>
      </c>
      <c r="C40" s="7" t="s">
        <v>66</v>
      </c>
      <c r="D40" s="7" t="s">
        <v>106</v>
      </c>
      <c r="E40" s="7" t="s">
        <v>107</v>
      </c>
      <c r="F40" s="7" t="s">
        <v>28</v>
      </c>
      <c r="G40" s="7"/>
      <c r="H40" s="7"/>
      <c r="I40" s="7" t="s">
        <v>61</v>
      </c>
      <c r="J40" s="7"/>
    </row>
    <row r="41" customFormat="false" ht="15" hidden="false" customHeight="true" outlineLevel="0" collapsed="false">
      <c r="A41" s="7" t="s">
        <v>108</v>
      </c>
      <c r="B41" s="7" t="s">
        <v>79</v>
      </c>
      <c r="C41" s="7" t="s">
        <v>109</v>
      </c>
      <c r="D41" s="7" t="s">
        <v>110</v>
      </c>
      <c r="E41" s="7" t="s">
        <v>111</v>
      </c>
      <c r="F41" s="7" t="s">
        <v>28</v>
      </c>
      <c r="G41" s="7"/>
      <c r="H41" s="7"/>
      <c r="I41" s="7" t="s">
        <v>61</v>
      </c>
      <c r="J41" s="7"/>
    </row>
    <row r="42" customFormat="false" ht="15" hidden="false" customHeight="true" outlineLevel="0" collapsed="false">
      <c r="A42" s="7" t="s">
        <v>108</v>
      </c>
      <c r="B42" s="7" t="s">
        <v>79</v>
      </c>
      <c r="C42" s="7" t="s">
        <v>109</v>
      </c>
      <c r="D42" s="7" t="s">
        <v>112</v>
      </c>
      <c r="E42" s="7" t="s">
        <v>111</v>
      </c>
      <c r="F42" s="7" t="s">
        <v>28</v>
      </c>
      <c r="G42" s="7"/>
      <c r="H42" s="7"/>
      <c r="I42" s="7" t="s">
        <v>61</v>
      </c>
      <c r="J42" s="7"/>
    </row>
    <row r="43" customFormat="false" ht="15" hidden="false" customHeight="true" outlineLevel="0" collapsed="false">
      <c r="A43" s="7" t="s">
        <v>108</v>
      </c>
      <c r="B43" s="7" t="s">
        <v>79</v>
      </c>
      <c r="C43" s="7" t="s">
        <v>109</v>
      </c>
      <c r="D43" s="7" t="s">
        <v>113</v>
      </c>
      <c r="E43" s="7" t="s">
        <v>111</v>
      </c>
      <c r="F43" s="7" t="s">
        <v>28</v>
      </c>
      <c r="G43" s="7"/>
      <c r="H43" s="7"/>
      <c r="I43" s="7" t="s">
        <v>61</v>
      </c>
      <c r="J43" s="7"/>
    </row>
    <row r="44" customFormat="false" ht="15" hidden="false" customHeight="true" outlineLevel="0" collapsed="false">
      <c r="A44" s="7" t="s">
        <v>108</v>
      </c>
      <c r="B44" s="7" t="s">
        <v>79</v>
      </c>
      <c r="C44" s="7" t="s">
        <v>109</v>
      </c>
      <c r="D44" s="7" t="s">
        <v>114</v>
      </c>
      <c r="E44" s="7" t="s">
        <v>111</v>
      </c>
      <c r="F44" s="7" t="s">
        <v>28</v>
      </c>
      <c r="G44" s="7"/>
      <c r="H44" s="7"/>
      <c r="I44" s="7" t="s">
        <v>61</v>
      </c>
      <c r="J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</row>
  </sheetData>
  <mergeCells count="7">
    <mergeCell ref="B5:E5"/>
    <mergeCell ref="B6:E6"/>
    <mergeCell ref="B7:E7"/>
    <mergeCell ref="B8:E8"/>
    <mergeCell ref="B9:E9"/>
    <mergeCell ref="B10:E10"/>
    <mergeCell ref="B11:E11"/>
  </mergeCells>
  <dataValidations count="4">
    <dataValidation allowBlank="true" errorStyle="stop" operator="between" showDropDown="false" showErrorMessage="false" showInputMessage="false" sqref="B15:B214" type="list">
      <formula1>"reference,core,case"</formula1>
      <formula2>0</formula2>
    </dataValidation>
    <dataValidation allowBlank="true" errorStyle="stop" operator="between" showDropDown="false" showErrorMessage="false" showInputMessage="false" sqref="F15:F214" type="list">
      <formula1>"Supported,Unsupported,Interpretation,Unclear"</formula1>
      <formula2>0</formula2>
    </dataValidation>
    <dataValidation allowBlank="true" errorStyle="stop" operator="between" showDropDown="false" showErrorMessage="false" showInputMessage="false" sqref="G15:G214" type="list">
      <formula1>"Minor wording,Missing key point,Substantive misinformation"</formula1>
      <formula2>0</formula2>
    </dataValidation>
    <dataValidation allowBlank="true" errorStyle="stop" operator="between" showDropDown="false" showErrorMessage="false" showInputMessage="false" sqref="J15:J21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2"/>
    <col collapsed="false" customWidth="true" hidden="false" outlineLevel="0" max="7" min="6" style="1" width="18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115</v>
      </c>
    </row>
    <row r="2" customFormat="false" ht="15" hidden="false" customHeight="true" outlineLevel="0" collapsed="false">
      <c r="A2" s="3" t="s">
        <v>116</v>
      </c>
    </row>
    <row r="4" customFormat="false" ht="15" hidden="false" customHeight="true" outlineLevel="0" collapsed="false">
      <c r="A4" s="6" t="s">
        <v>117</v>
      </c>
      <c r="B4" s="11" t="s">
        <v>118</v>
      </c>
      <c r="C4" s="11"/>
      <c r="D4" s="11"/>
      <c r="E4" s="11"/>
      <c r="F4" s="11"/>
      <c r="G4" s="11"/>
      <c r="H4" s="11"/>
      <c r="I4" s="11"/>
    </row>
    <row r="5" customFormat="false" ht="15" hidden="false" customHeight="true" outlineLevel="0" collapsed="false">
      <c r="A5" s="6" t="s">
        <v>119</v>
      </c>
      <c r="B5" s="11" t="s">
        <v>120</v>
      </c>
      <c r="C5" s="11"/>
      <c r="D5" s="11"/>
      <c r="E5" s="11"/>
      <c r="F5" s="11"/>
      <c r="G5" s="11"/>
      <c r="H5" s="11"/>
      <c r="I5" s="11"/>
    </row>
    <row r="6" customFormat="false" ht="15" hidden="false" customHeight="true" outlineLevel="0" collapsed="false">
      <c r="A6" s="6" t="s">
        <v>121</v>
      </c>
      <c r="B6" s="11" t="s">
        <v>122</v>
      </c>
      <c r="C6" s="11"/>
      <c r="D6" s="11"/>
      <c r="E6" s="11"/>
      <c r="F6" s="11"/>
      <c r="G6" s="11"/>
      <c r="H6" s="11"/>
      <c r="I6" s="11"/>
    </row>
    <row r="7" customFormat="false" ht="15" hidden="false" customHeight="true" outlineLevel="0" collapsed="false">
      <c r="A7" s="6" t="s">
        <v>123</v>
      </c>
      <c r="B7" s="11" t="s">
        <v>124</v>
      </c>
      <c r="C7" s="11"/>
      <c r="D7" s="11"/>
      <c r="E7" s="11"/>
      <c r="F7" s="11"/>
      <c r="G7" s="11"/>
      <c r="H7" s="11"/>
      <c r="I7" s="11"/>
    </row>
    <row r="8" customFormat="false" ht="15" hidden="false" customHeight="true" outlineLevel="0" collapsed="false">
      <c r="A8" s="6" t="s">
        <v>125</v>
      </c>
      <c r="B8" s="11" t="s">
        <v>126</v>
      </c>
      <c r="C8" s="11"/>
      <c r="D8" s="11"/>
      <c r="E8" s="11"/>
      <c r="F8" s="11"/>
      <c r="G8" s="11"/>
      <c r="H8" s="11"/>
      <c r="I8" s="11"/>
    </row>
    <row r="10" customFormat="false" ht="45" hidden="false" customHeight="true" outlineLevel="0" collapsed="false">
      <c r="A10" s="10" t="s">
        <v>127</v>
      </c>
      <c r="B10" s="10" t="s">
        <v>128</v>
      </c>
      <c r="C10" s="10" t="s">
        <v>129</v>
      </c>
      <c r="D10" s="10" t="s">
        <v>130</v>
      </c>
      <c r="E10" s="10" t="s">
        <v>131</v>
      </c>
      <c r="F10" s="10" t="s">
        <v>132</v>
      </c>
      <c r="G10" s="10" t="s">
        <v>133</v>
      </c>
      <c r="H10" s="10" t="s">
        <v>134</v>
      </c>
      <c r="I10" s="10" t="s">
        <v>135</v>
      </c>
      <c r="J10" s="10" t="s">
        <v>136</v>
      </c>
      <c r="K10" s="10" t="s">
        <v>137</v>
      </c>
      <c r="L10" s="10" t="s">
        <v>138</v>
      </c>
    </row>
    <row r="11" customFormat="false" ht="15" hidden="false" customHeight="true" outlineLevel="0" collapsed="false">
      <c r="A11" s="4" t="s">
        <v>139</v>
      </c>
      <c r="B11" s="11" t="s">
        <v>140</v>
      </c>
      <c r="C11" s="11" t="s">
        <v>141</v>
      </c>
      <c r="D11" s="11" t="n">
        <v>2061</v>
      </c>
      <c r="E11" s="6" t="s">
        <v>142</v>
      </c>
      <c r="F11" s="12" t="n">
        <v>0</v>
      </c>
      <c r="G11" s="11" t="n">
        <v>8.67</v>
      </c>
      <c r="H11" s="6" t="n">
        <f aca="false">IF(G11="","",F11+G11)</f>
        <v>8.67</v>
      </c>
      <c r="I11" s="11" t="n">
        <v>7</v>
      </c>
      <c r="J11" s="13" t="n">
        <f aca="false">IF(OR(H11="",D11=""),"",H11/D11*1000)</f>
        <v>4.20669577874818</v>
      </c>
      <c r="K11" s="11" t="s">
        <v>143</v>
      </c>
      <c r="L11" s="11" t="s">
        <v>144</v>
      </c>
    </row>
    <row r="12" customFormat="false" ht="15" hidden="false" customHeight="true" outlineLevel="0" collapsed="false">
      <c r="A12" s="4" t="s">
        <v>145</v>
      </c>
      <c r="B12" s="11" t="s">
        <v>146</v>
      </c>
      <c r="C12" s="11" t="s">
        <v>147</v>
      </c>
      <c r="D12" s="11" t="n">
        <v>2360</v>
      </c>
      <c r="E12" s="6" t="s">
        <v>148</v>
      </c>
      <c r="F12" s="14" t="n">
        <v>1.02</v>
      </c>
      <c r="G12" s="11" t="n">
        <v>1.175</v>
      </c>
      <c r="H12" s="6" t="n">
        <f aca="false">IF(G12="","",F12+G12)</f>
        <v>2.195</v>
      </c>
      <c r="I12" s="11" t="n">
        <v>9</v>
      </c>
      <c r="J12" s="13" t="n">
        <f aca="false">IF(OR(H12="",D12=""),"",H12/D12*1000)</f>
        <v>0.930084745762712</v>
      </c>
      <c r="K12" s="11" t="s">
        <v>143</v>
      </c>
      <c r="L12" s="11" t="s">
        <v>149</v>
      </c>
    </row>
    <row r="13" customFormat="false" ht="15" hidden="false" customHeight="true" outlineLevel="0" collapsed="false">
      <c r="A13" s="4" t="s">
        <v>150</v>
      </c>
      <c r="B13" s="11" t="s">
        <v>151</v>
      </c>
      <c r="C13" s="11" t="s">
        <v>147</v>
      </c>
      <c r="D13" s="11" t="n">
        <v>2077</v>
      </c>
      <c r="E13" s="6" t="s">
        <v>142</v>
      </c>
      <c r="F13" s="12" t="n">
        <v>0</v>
      </c>
      <c r="G13" s="11" t="n">
        <v>6.55</v>
      </c>
      <c r="H13" s="6" t="n">
        <f aca="false">IF(G13="","",F13+G13)</f>
        <v>6.55</v>
      </c>
      <c r="I13" s="11" t="n">
        <v>7</v>
      </c>
      <c r="J13" s="13" t="n">
        <f aca="false">IF(OR(H13="",D13=""),"",H13/D13*1000)</f>
        <v>3.15358690418873</v>
      </c>
      <c r="K13" s="11" t="s">
        <v>143</v>
      </c>
      <c r="L13" s="11" t="s">
        <v>152</v>
      </c>
    </row>
    <row r="14" customFormat="false" ht="15" hidden="false" customHeight="true" outlineLevel="0" collapsed="false">
      <c r="A14" s="4" t="s">
        <v>153</v>
      </c>
      <c r="B14" s="11" t="s">
        <v>154</v>
      </c>
      <c r="C14" s="11" t="s">
        <v>155</v>
      </c>
      <c r="D14" s="11" t="n">
        <v>1578</v>
      </c>
      <c r="E14" s="6" t="s">
        <v>148</v>
      </c>
      <c r="F14" s="14" t="n">
        <v>1.02</v>
      </c>
      <c r="G14" s="11" t="n">
        <v>1.175</v>
      </c>
      <c r="H14" s="6" t="n">
        <f aca="false">IF(G14="","",F14+G14)</f>
        <v>2.195</v>
      </c>
      <c r="I14" s="11" t="n">
        <v>8</v>
      </c>
      <c r="J14" s="13" t="n">
        <f aca="false">IF(OR(H14="",D14=""),"",H14/D14*1000)</f>
        <v>1.39100126742712</v>
      </c>
      <c r="K14" s="11" t="s">
        <v>143</v>
      </c>
      <c r="L14" s="11" t="s">
        <v>156</v>
      </c>
    </row>
    <row r="16" customFormat="false" ht="15" hidden="false" customHeight="true" outlineLevel="0" collapsed="false">
      <c r="A16" s="4" t="s">
        <v>22</v>
      </c>
    </row>
    <row r="17" customFormat="false" ht="15" hidden="false" customHeight="true" outlineLevel="0" collapsed="false">
      <c r="A17" s="6" t="s">
        <v>157</v>
      </c>
      <c r="B17" s="15" t="n">
        <f aca="false">IFERROR((H11+H13)/(D11+D13)*1000,"")</f>
        <v>3.67810536491058</v>
      </c>
    </row>
    <row r="18" customFormat="false" ht="15" hidden="false" customHeight="true" outlineLevel="0" collapsed="false">
      <c r="A18" s="6" t="s">
        <v>158</v>
      </c>
      <c r="B18" s="15" t="n">
        <f aca="false">IFERROR((H12+H14)/(D12+D14)*1000,"")</f>
        <v>1.11477907567293</v>
      </c>
    </row>
    <row r="19" customFormat="false" ht="15" hidden="false" customHeight="true" outlineLevel="0" collapsed="false">
      <c r="A19" s="6" t="s">
        <v>159</v>
      </c>
      <c r="B19" s="16" t="n">
        <f aca="false">IFERROR(1-B18/B17,"")</f>
        <v>0.696914861029265</v>
      </c>
    </row>
    <row r="20" customFormat="false" ht="15" hidden="false" customHeight="true" outlineLevel="0" collapsed="false">
      <c r="A20" s="6" t="s">
        <v>160</v>
      </c>
      <c r="B20" s="17" t="n">
        <v>2.92</v>
      </c>
      <c r="C20" s="3" t="s">
        <v>161</v>
      </c>
    </row>
    <row r="21" customFormat="false" ht="15" hidden="false" customHeight="true" outlineLevel="0" collapsed="false">
      <c r="A21" s="6" t="s">
        <v>162</v>
      </c>
      <c r="B21" s="17" t="n">
        <v>0.81</v>
      </c>
    </row>
    <row r="22" customFormat="false" ht="15" hidden="false" customHeight="true" outlineLevel="0" collapsed="false">
      <c r="A22" s="6" t="s">
        <v>163</v>
      </c>
      <c r="B22" s="16" t="n">
        <f aca="false">1-B21/B20</f>
        <v>0.722602739726027</v>
      </c>
    </row>
    <row r="24" customFormat="false" ht="15" hidden="false" customHeight="true" outlineLevel="0" collapsed="false">
      <c r="A24" s="4" t="s">
        <v>46</v>
      </c>
      <c r="B24" s="1" t="str">
        <f aca="false">IF(B19="","","Fresh-file test (4 unseen files, each done one way only): "&amp;TEXT(B17,"0.00")&amp;" vs "&amp;TEXT(B18,"0.00")&amp;" min per 1,000 words, "&amp;TEXT(B19,"0%")&amp;" less; original test "&amp;TEXT(B22,"0%")&amp;". Quality: 12/14 vs 17/17 notes pass all 5 checks.")</f>
        <v>Fresh-file test (4 unseen files, each done one way only): 3.68 vs 1.11 min per 1,000 words, 70% less; original test 72%. Quality: 12/14 vs 17/17 notes pass all 5 checks.</v>
      </c>
    </row>
  </sheetData>
  <mergeCells count="5">
    <mergeCell ref="B4:I4"/>
    <mergeCell ref="B5:I5"/>
    <mergeCell ref="B6:I6"/>
    <mergeCell ref="B7:I7"/>
    <mergeCell ref="B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7" min="5" style="1" width="13"/>
    <col collapsed="false" customWidth="true" hidden="false" outlineLevel="0" max="9" min="8" style="1" width="10"/>
    <col collapsed="false" customWidth="true" hidden="false" outlineLevel="0" max="10" min="10" style="1" width="40"/>
    <col collapsed="false" customWidth="true" hidden="false" outlineLevel="0" max="12" min="12" style="1" width="30"/>
    <col collapsed="false" customWidth="true" hidden="false" outlineLevel="0" max="14" min="13" style="1" width="15"/>
  </cols>
  <sheetData>
    <row r="1" customFormat="false" ht="17.25" hidden="false" customHeight="true" outlineLevel="0" collapsed="false">
      <c r="A1" s="2" t="s">
        <v>164</v>
      </c>
    </row>
    <row r="2" customFormat="false" ht="15" hidden="false" customHeight="true" outlineLevel="0" collapsed="false">
      <c r="A2" s="3" t="s">
        <v>165</v>
      </c>
    </row>
    <row r="4" customFormat="false" ht="15" hidden="false" customHeight="true" outlineLevel="0" collapsed="false">
      <c r="A4" s="4" t="s">
        <v>166</v>
      </c>
    </row>
    <row r="5" customFormat="false" ht="15" hidden="false" customHeight="true" outlineLevel="0" collapsed="false">
      <c r="A5" s="6" t="s">
        <v>167</v>
      </c>
      <c r="B5" s="6" t="s">
        <v>168</v>
      </c>
    </row>
    <row r="6" customFormat="false" ht="15" hidden="false" customHeight="true" outlineLevel="0" collapsed="false">
      <c r="A6" s="6" t="s">
        <v>169</v>
      </c>
      <c r="B6" s="6" t="s">
        <v>168</v>
      </c>
    </row>
    <row r="7" customFormat="false" ht="15" hidden="false" customHeight="true" outlineLevel="0" collapsed="false">
      <c r="A7" s="6" t="s">
        <v>170</v>
      </c>
      <c r="B7" s="6" t="s">
        <v>171</v>
      </c>
    </row>
    <row r="8" customFormat="false" ht="15" hidden="false" customHeight="true" outlineLevel="0" collapsed="false">
      <c r="A8" s="6" t="s">
        <v>172</v>
      </c>
      <c r="B8" s="6" t="s">
        <v>173</v>
      </c>
    </row>
    <row r="9" customFormat="false" ht="15" hidden="false" customHeight="true" outlineLevel="0" collapsed="false">
      <c r="A9" s="18" t="s">
        <v>174</v>
      </c>
    </row>
    <row r="10" customFormat="false" ht="15" hidden="false" customHeight="false" outlineLevel="0" collapsed="false">
      <c r="A10" s="19" t="s">
        <v>175</v>
      </c>
    </row>
    <row r="11" customFormat="false" ht="31.5" hidden="false" customHeight="true" outlineLevel="0" collapsed="false">
      <c r="A11" s="10" t="s">
        <v>176</v>
      </c>
      <c r="B11" s="10" t="s">
        <v>177</v>
      </c>
      <c r="C11" s="10" t="s">
        <v>178</v>
      </c>
      <c r="D11" s="10" t="s">
        <v>179</v>
      </c>
      <c r="E11" s="10" t="s">
        <v>180</v>
      </c>
      <c r="F11" s="10" t="s">
        <v>181</v>
      </c>
      <c r="G11" s="10" t="s">
        <v>182</v>
      </c>
      <c r="H11" s="10" t="s">
        <v>183</v>
      </c>
      <c r="I11" s="10" t="s">
        <v>184</v>
      </c>
      <c r="J11" s="10" t="s">
        <v>185</v>
      </c>
      <c r="L11" s="20" t="s">
        <v>186</v>
      </c>
      <c r="M11" s="20" t="s">
        <v>187</v>
      </c>
      <c r="N11" s="20" t="s">
        <v>188</v>
      </c>
    </row>
    <row r="12" customFormat="false" ht="15" hidden="false" customHeight="true" outlineLevel="0" collapsed="false">
      <c r="A12" s="6" t="s">
        <v>187</v>
      </c>
      <c r="B12" s="6" t="n">
        <v>1</v>
      </c>
      <c r="C12" s="7"/>
      <c r="D12" s="7"/>
      <c r="E12" s="7"/>
      <c r="F12" s="7"/>
      <c r="G12" s="7"/>
      <c r="H12" s="7"/>
      <c r="I12" s="6" t="str">
        <f aca="false">IF(COUNT(E12:H12)=0,"",SUM(E12:H12))</f>
        <v/>
      </c>
      <c r="J12" s="7"/>
      <c r="L12" s="6" t="s">
        <v>189</v>
      </c>
      <c r="M12" s="8" t="n">
        <f aca="false">SUM(I12:I31)</f>
        <v>0</v>
      </c>
      <c r="N12" s="8" t="n">
        <f aca="false">SUM(I32:I51)</f>
        <v>0</v>
      </c>
    </row>
    <row r="13" customFormat="false" ht="15" hidden="false" customHeight="true" outlineLevel="0" collapsed="false">
      <c r="A13" s="6" t="s">
        <v>187</v>
      </c>
      <c r="B13" s="6" t="n">
        <v>2</v>
      </c>
      <c r="C13" s="7"/>
      <c r="D13" s="7"/>
      <c r="E13" s="7"/>
      <c r="F13" s="7"/>
      <c r="G13" s="7"/>
      <c r="H13" s="7"/>
      <c r="I13" s="6" t="str">
        <f aca="false">IF(COUNT(E13:H13)=0,"",SUM(E13:H13))</f>
        <v/>
      </c>
      <c r="J13" s="7"/>
      <c r="L13" s="6" t="s">
        <v>190</v>
      </c>
      <c r="M13" s="8" t="n">
        <f aca="false">SUM(G12:G31)</f>
        <v>0</v>
      </c>
      <c r="N13" s="8" t="n">
        <f aca="false">SUM(G32:G51)</f>
        <v>0</v>
      </c>
    </row>
    <row r="14" customFormat="false" ht="15" hidden="false" customHeight="true" outlineLevel="0" collapsed="false">
      <c r="A14" s="6" t="s">
        <v>187</v>
      </c>
      <c r="B14" s="6" t="n">
        <v>3</v>
      </c>
      <c r="C14" s="7"/>
      <c r="D14" s="7"/>
      <c r="E14" s="7"/>
      <c r="F14" s="7"/>
      <c r="G14" s="7"/>
      <c r="H14" s="7"/>
      <c r="I14" s="6" t="str">
        <f aca="false">IF(COUNT(E14:H14)=0,"",SUM(E14:H14))</f>
        <v/>
      </c>
      <c r="J14" s="7"/>
      <c r="L14" s="6" t="s">
        <v>191</v>
      </c>
      <c r="M14" s="8" t="n">
        <f aca="false">SUM(H12:H31)</f>
        <v>0</v>
      </c>
      <c r="N14" s="8" t="n">
        <f aca="false">SUM(H32:H51)</f>
        <v>0</v>
      </c>
    </row>
    <row r="15" customFormat="false" ht="15" hidden="false" customHeight="true" outlineLevel="0" collapsed="false">
      <c r="A15" s="6" t="s">
        <v>187</v>
      </c>
      <c r="B15" s="6" t="n">
        <v>4</v>
      </c>
      <c r="C15" s="7"/>
      <c r="D15" s="7"/>
      <c r="E15" s="7"/>
      <c r="F15" s="7"/>
      <c r="G15" s="7"/>
      <c r="H15" s="7"/>
      <c r="I15" s="6" t="str">
        <f aca="false">IF(COUNT(E15:H15)=0,"",SUM(E15:H15))</f>
        <v/>
      </c>
      <c r="J15" s="7"/>
      <c r="L15" s="6" t="s">
        <v>192</v>
      </c>
      <c r="M15" s="8" t="n">
        <f aca="false">SUM(E12:E31)</f>
        <v>0</v>
      </c>
      <c r="N15" s="8" t="n">
        <f aca="false">SUM(E32:E51)</f>
        <v>0</v>
      </c>
    </row>
    <row r="16" customFormat="false" ht="15" hidden="false" customHeight="true" outlineLevel="0" collapsed="false">
      <c r="A16" s="6" t="s">
        <v>187</v>
      </c>
      <c r="B16" s="6" t="n">
        <v>5</v>
      </c>
      <c r="C16" s="7"/>
      <c r="D16" s="7"/>
      <c r="E16" s="7"/>
      <c r="F16" s="7"/>
      <c r="G16" s="7"/>
      <c r="H16" s="7"/>
      <c r="I16" s="6" t="str">
        <f aca="false">IF(COUNT(E16:H16)=0,"",SUM(E16:H16))</f>
        <v/>
      </c>
      <c r="J16" s="7"/>
      <c r="L16" s="6" t="s">
        <v>193</v>
      </c>
      <c r="M16" s="21" t="str">
        <f aca="false">IFERROR(COUNTIF(D12:D31,"B")/COUNTA(D12:D31),"")</f>
        <v/>
      </c>
      <c r="N16" s="21" t="str">
        <f aca="false">IFERROR(COUNTIF(D32:D51,"B")/COUNTA(D32:D51),"")</f>
        <v/>
      </c>
    </row>
    <row r="17" customFormat="false" ht="15" hidden="false" customHeight="true" outlineLevel="0" collapsed="false">
      <c r="A17" s="6" t="s">
        <v>187</v>
      </c>
      <c r="B17" s="6" t="n">
        <v>6</v>
      </c>
      <c r="C17" s="7"/>
      <c r="D17" s="7"/>
      <c r="E17" s="7"/>
      <c r="F17" s="7"/>
      <c r="G17" s="7"/>
      <c r="H17" s="7"/>
      <c r="I17" s="6" t="str">
        <f aca="false">IF(COUNT(E17:H17)=0,"",SUM(E17:H17))</f>
        <v/>
      </c>
      <c r="J17" s="7"/>
      <c r="L17" s="6" t="s">
        <v>194</v>
      </c>
      <c r="M17" s="8" t="n">
        <f aca="false">COUNT(I12:I31)</f>
        <v>0</v>
      </c>
      <c r="N17" s="8" t="n">
        <f aca="false">COUNT(I32:I51)</f>
        <v>0</v>
      </c>
    </row>
    <row r="18" customFormat="false" ht="15" hidden="false" customHeight="true" outlineLevel="0" collapsed="false">
      <c r="A18" s="6" t="s">
        <v>187</v>
      </c>
      <c r="B18" s="6" t="n">
        <v>7</v>
      </c>
      <c r="C18" s="7"/>
      <c r="D18" s="7"/>
      <c r="E18" s="7"/>
      <c r="F18" s="7"/>
      <c r="G18" s="7"/>
      <c r="H18" s="7"/>
      <c r="I18" s="6" t="str">
        <f aca="false">IF(COUNT(E18:H18)=0,"",SUM(E18:H18))</f>
        <v/>
      </c>
      <c r="J18" s="7"/>
      <c r="L18" s="6" t="s">
        <v>195</v>
      </c>
      <c r="M18" s="21" t="str">
        <f aca="false">IFERROR(M12/(M17*5),"")</f>
        <v/>
      </c>
      <c r="N18" s="21" t="str">
        <f aca="false">IFERROR(N12/(N17*5),"")</f>
        <v/>
      </c>
    </row>
    <row r="19" customFormat="false" ht="15" hidden="false" customHeight="true" outlineLevel="0" collapsed="false">
      <c r="A19" s="6" t="s">
        <v>187</v>
      </c>
      <c r="B19" s="6" t="n">
        <v>8</v>
      </c>
      <c r="C19" s="7"/>
      <c r="D19" s="7"/>
      <c r="E19" s="7"/>
      <c r="F19" s="7"/>
      <c r="G19" s="7"/>
      <c r="H19" s="7"/>
      <c r="I19" s="6" t="str">
        <f aca="false">IF(COUNT(E19:H19)=0,"",SUM(E19:H19))</f>
        <v/>
      </c>
      <c r="J19" s="7"/>
    </row>
    <row r="20" customFormat="false" ht="15" hidden="false" customHeight="true" outlineLevel="0" collapsed="false">
      <c r="A20" s="6" t="s">
        <v>187</v>
      </c>
      <c r="B20" s="6" t="n">
        <v>9</v>
      </c>
      <c r="C20" s="7"/>
      <c r="D20" s="7"/>
      <c r="E20" s="7"/>
      <c r="F20" s="7"/>
      <c r="G20" s="7"/>
      <c r="H20" s="7"/>
      <c r="I20" s="6" t="str">
        <f aca="false">IF(COUNT(E20:H20)=0,"",SUM(E20:H20))</f>
        <v/>
      </c>
      <c r="J20" s="7"/>
      <c r="L20" s="4" t="s">
        <v>46</v>
      </c>
    </row>
    <row r="21" customFormat="false" ht="15" hidden="false" customHeight="true" outlineLevel="0" collapsed="false">
      <c r="A21" s="6" t="s">
        <v>187</v>
      </c>
      <c r="B21" s="6" t="n">
        <v>10</v>
      </c>
      <c r="C21" s="7"/>
      <c r="D21" s="7"/>
      <c r="E21" s="7"/>
      <c r="F21" s="7"/>
      <c r="G21" s="7"/>
      <c r="H21" s="7"/>
      <c r="I21" s="6" t="str">
        <f aca="false">IF(COUNT(E21:H21)=0,"",SUM(E21:H21))</f>
        <v/>
      </c>
      <c r="J21" s="7"/>
      <c r="L21" s="1" t="str">
        <f aca="false">IF(N17=0,"","Quiz quality, same rubric: Day 9 "&amp;TEXT(M18,"0%")&amp;" ("&amp;M17&amp;" questions) → Day 11 "&amp;TEXT(N18,"0%")&amp;" ("&amp;N17&amp;" questions, improved prompt); distractors "&amp;M13&amp;"/"&amp;M17*2&amp;" → "&amp;N13&amp;"/"&amp;N17*2&amp;".")</f>
        <v/>
      </c>
    </row>
    <row r="22" customFormat="false" ht="15" hidden="false" customHeight="true" outlineLevel="0" collapsed="false">
      <c r="A22" s="6" t="s">
        <v>187</v>
      </c>
      <c r="B22" s="6" t="n">
        <v>11</v>
      </c>
      <c r="C22" s="7"/>
      <c r="D22" s="7"/>
      <c r="E22" s="7"/>
      <c r="F22" s="7"/>
      <c r="G22" s="7"/>
      <c r="H22" s="7"/>
      <c r="I22" s="6" t="str">
        <f aca="false">IF(COUNT(E22:H22)=0,"",SUM(E22:H22))</f>
        <v/>
      </c>
      <c r="J22" s="7"/>
    </row>
    <row r="23" customFormat="false" ht="15" hidden="false" customHeight="true" outlineLevel="0" collapsed="false">
      <c r="A23" s="6" t="s">
        <v>187</v>
      </c>
      <c r="B23" s="6" t="n">
        <v>12</v>
      </c>
      <c r="C23" s="7"/>
      <c r="D23" s="7"/>
      <c r="E23" s="7"/>
      <c r="F23" s="7"/>
      <c r="G23" s="7"/>
      <c r="H23" s="7"/>
      <c r="I23" s="6" t="str">
        <f aca="false">IF(COUNT(E23:H23)=0,"",SUM(E23:H23))</f>
        <v/>
      </c>
      <c r="J23" s="7"/>
    </row>
    <row r="24" customFormat="false" ht="15" hidden="false" customHeight="true" outlineLevel="0" collapsed="false">
      <c r="A24" s="6" t="s">
        <v>187</v>
      </c>
      <c r="B24" s="6" t="n">
        <v>13</v>
      </c>
      <c r="C24" s="7"/>
      <c r="D24" s="7"/>
      <c r="E24" s="7"/>
      <c r="F24" s="7"/>
      <c r="G24" s="7"/>
      <c r="H24" s="7"/>
      <c r="I24" s="6" t="str">
        <f aca="false">IF(COUNT(E24:H24)=0,"",SUM(E24:H24))</f>
        <v/>
      </c>
      <c r="J24" s="7"/>
    </row>
    <row r="25" customFormat="false" ht="15" hidden="false" customHeight="true" outlineLevel="0" collapsed="false">
      <c r="A25" s="6" t="s">
        <v>187</v>
      </c>
      <c r="B25" s="6" t="n">
        <v>14</v>
      </c>
      <c r="C25" s="7"/>
      <c r="D25" s="7"/>
      <c r="E25" s="7"/>
      <c r="F25" s="7"/>
      <c r="G25" s="7"/>
      <c r="H25" s="7"/>
      <c r="I25" s="6" t="str">
        <f aca="false">IF(COUNT(E25:H25)=0,"",SUM(E25:H25))</f>
        <v/>
      </c>
      <c r="J25" s="7"/>
    </row>
    <row r="26" customFormat="false" ht="15" hidden="false" customHeight="true" outlineLevel="0" collapsed="false">
      <c r="A26" s="6" t="s">
        <v>187</v>
      </c>
      <c r="B26" s="6" t="n">
        <v>15</v>
      </c>
      <c r="C26" s="7"/>
      <c r="D26" s="7"/>
      <c r="E26" s="7"/>
      <c r="F26" s="7"/>
      <c r="G26" s="7"/>
      <c r="H26" s="7"/>
      <c r="I26" s="6" t="str">
        <f aca="false">IF(COUNT(E26:H26)=0,"",SUM(E26:H26))</f>
        <v/>
      </c>
      <c r="J26" s="7"/>
    </row>
    <row r="27" customFormat="false" ht="15" hidden="false" customHeight="true" outlineLevel="0" collapsed="false">
      <c r="A27" s="6" t="s">
        <v>187</v>
      </c>
      <c r="B27" s="6" t="n">
        <v>16</v>
      </c>
      <c r="C27" s="7"/>
      <c r="D27" s="7"/>
      <c r="E27" s="7"/>
      <c r="F27" s="7"/>
      <c r="G27" s="7"/>
      <c r="H27" s="7"/>
      <c r="I27" s="6" t="str">
        <f aca="false">IF(COUNT(E27:H27)=0,"",SUM(E27:H27))</f>
        <v/>
      </c>
      <c r="J27" s="7"/>
    </row>
    <row r="28" customFormat="false" ht="15" hidden="false" customHeight="true" outlineLevel="0" collapsed="false">
      <c r="A28" s="6" t="s">
        <v>187</v>
      </c>
      <c r="B28" s="6" t="n">
        <v>17</v>
      </c>
      <c r="C28" s="7"/>
      <c r="D28" s="7"/>
      <c r="E28" s="7"/>
      <c r="F28" s="7"/>
      <c r="G28" s="7"/>
      <c r="H28" s="7"/>
      <c r="I28" s="6" t="str">
        <f aca="false">IF(COUNT(E28:H28)=0,"",SUM(E28:H28))</f>
        <v/>
      </c>
      <c r="J28" s="7"/>
    </row>
    <row r="29" customFormat="false" ht="15" hidden="false" customHeight="true" outlineLevel="0" collapsed="false">
      <c r="A29" s="6" t="s">
        <v>187</v>
      </c>
      <c r="B29" s="6" t="n">
        <v>18</v>
      </c>
      <c r="C29" s="7"/>
      <c r="D29" s="7"/>
      <c r="E29" s="7"/>
      <c r="F29" s="7"/>
      <c r="G29" s="7"/>
      <c r="H29" s="7"/>
      <c r="I29" s="6" t="str">
        <f aca="false">IF(COUNT(E29:H29)=0,"",SUM(E29:H29))</f>
        <v/>
      </c>
      <c r="J29" s="7"/>
    </row>
    <row r="30" customFormat="false" ht="15" hidden="false" customHeight="true" outlineLevel="0" collapsed="false">
      <c r="A30" s="6" t="s">
        <v>187</v>
      </c>
      <c r="B30" s="6" t="n">
        <v>19</v>
      </c>
      <c r="C30" s="7"/>
      <c r="D30" s="7"/>
      <c r="E30" s="7"/>
      <c r="F30" s="7"/>
      <c r="G30" s="7"/>
      <c r="H30" s="7"/>
      <c r="I30" s="6" t="str">
        <f aca="false">IF(COUNT(E30:H30)=0,"",SUM(E30:H30))</f>
        <v/>
      </c>
      <c r="J30" s="7"/>
    </row>
    <row r="31" customFormat="false" ht="15" hidden="false" customHeight="true" outlineLevel="0" collapsed="false">
      <c r="A31" s="6" t="s">
        <v>187</v>
      </c>
      <c r="B31" s="6" t="n">
        <v>20</v>
      </c>
      <c r="C31" s="7"/>
      <c r="D31" s="7"/>
      <c r="E31" s="7"/>
      <c r="F31" s="7"/>
      <c r="G31" s="7"/>
      <c r="H31" s="7"/>
      <c r="I31" s="6" t="str">
        <f aca="false">IF(COUNT(E31:H31)=0,"",SUM(E31:H31))</f>
        <v/>
      </c>
      <c r="J31" s="7"/>
    </row>
    <row r="32" customFormat="false" ht="15" hidden="false" customHeight="true" outlineLevel="0" collapsed="false">
      <c r="A32" s="6" t="s">
        <v>188</v>
      </c>
      <c r="B32" s="6" t="n">
        <v>1</v>
      </c>
      <c r="C32" s="7"/>
      <c r="D32" s="7"/>
      <c r="E32" s="7"/>
      <c r="F32" s="7"/>
      <c r="G32" s="7"/>
      <c r="H32" s="7"/>
      <c r="I32" s="6" t="str">
        <f aca="false">IF(COUNT(E32:H32)=0,"",SUM(E32:H32))</f>
        <v/>
      </c>
      <c r="J32" s="7"/>
    </row>
    <row r="33" customFormat="false" ht="15" hidden="false" customHeight="true" outlineLevel="0" collapsed="false">
      <c r="A33" s="6" t="s">
        <v>188</v>
      </c>
      <c r="B33" s="6" t="n">
        <v>2</v>
      </c>
      <c r="C33" s="7"/>
      <c r="D33" s="7"/>
      <c r="E33" s="7"/>
      <c r="F33" s="7"/>
      <c r="G33" s="7"/>
      <c r="H33" s="7"/>
      <c r="I33" s="6" t="str">
        <f aca="false">IF(COUNT(E33:H33)=0,"",SUM(E33:H33))</f>
        <v/>
      </c>
      <c r="J33" s="7"/>
    </row>
    <row r="34" customFormat="false" ht="15" hidden="false" customHeight="true" outlineLevel="0" collapsed="false">
      <c r="A34" s="6" t="s">
        <v>188</v>
      </c>
      <c r="B34" s="6" t="n">
        <v>3</v>
      </c>
      <c r="C34" s="7"/>
      <c r="D34" s="7"/>
      <c r="E34" s="7"/>
      <c r="F34" s="7"/>
      <c r="G34" s="7"/>
      <c r="H34" s="7"/>
      <c r="I34" s="6" t="str">
        <f aca="false">IF(COUNT(E34:H34)=0,"",SUM(E34:H34))</f>
        <v/>
      </c>
      <c r="J34" s="7"/>
    </row>
    <row r="35" customFormat="false" ht="15" hidden="false" customHeight="true" outlineLevel="0" collapsed="false">
      <c r="A35" s="6" t="s">
        <v>188</v>
      </c>
      <c r="B35" s="6" t="n">
        <v>4</v>
      </c>
      <c r="C35" s="7"/>
      <c r="D35" s="7"/>
      <c r="E35" s="7"/>
      <c r="F35" s="7"/>
      <c r="G35" s="7"/>
      <c r="H35" s="7"/>
      <c r="I35" s="6" t="str">
        <f aca="false">IF(COUNT(E35:H35)=0,"",SUM(E35:H35))</f>
        <v/>
      </c>
      <c r="J35" s="7"/>
    </row>
    <row r="36" customFormat="false" ht="15" hidden="false" customHeight="true" outlineLevel="0" collapsed="false">
      <c r="A36" s="6" t="s">
        <v>188</v>
      </c>
      <c r="B36" s="6" t="n">
        <v>5</v>
      </c>
      <c r="C36" s="7"/>
      <c r="D36" s="7"/>
      <c r="E36" s="7"/>
      <c r="F36" s="7"/>
      <c r="G36" s="7"/>
      <c r="H36" s="7"/>
      <c r="I36" s="6" t="str">
        <f aca="false">IF(COUNT(E36:H36)=0,"",SUM(E36:H36))</f>
        <v/>
      </c>
      <c r="J36" s="7"/>
    </row>
    <row r="37" customFormat="false" ht="15" hidden="false" customHeight="true" outlineLevel="0" collapsed="false">
      <c r="A37" s="6" t="s">
        <v>188</v>
      </c>
      <c r="B37" s="6" t="n">
        <v>6</v>
      </c>
      <c r="C37" s="7"/>
      <c r="D37" s="7"/>
      <c r="E37" s="7"/>
      <c r="F37" s="7"/>
      <c r="G37" s="7"/>
      <c r="H37" s="7"/>
      <c r="I37" s="6" t="str">
        <f aca="false">IF(COUNT(E37:H37)=0,"",SUM(E37:H37))</f>
        <v/>
      </c>
      <c r="J37" s="7"/>
    </row>
    <row r="38" customFormat="false" ht="15" hidden="false" customHeight="true" outlineLevel="0" collapsed="false">
      <c r="A38" s="6" t="s">
        <v>188</v>
      </c>
      <c r="B38" s="6" t="n">
        <v>7</v>
      </c>
      <c r="C38" s="7"/>
      <c r="D38" s="7"/>
      <c r="E38" s="7"/>
      <c r="F38" s="7"/>
      <c r="G38" s="7"/>
      <c r="H38" s="7"/>
      <c r="I38" s="6" t="str">
        <f aca="false">IF(COUNT(E38:H38)=0,"",SUM(E38:H38))</f>
        <v/>
      </c>
      <c r="J38" s="7"/>
    </row>
    <row r="39" customFormat="false" ht="15" hidden="false" customHeight="true" outlineLevel="0" collapsed="false">
      <c r="A39" s="6" t="s">
        <v>188</v>
      </c>
      <c r="B39" s="6" t="n">
        <v>8</v>
      </c>
      <c r="C39" s="7"/>
      <c r="D39" s="7"/>
      <c r="E39" s="7"/>
      <c r="F39" s="7"/>
      <c r="G39" s="7"/>
      <c r="H39" s="7"/>
      <c r="I39" s="6" t="str">
        <f aca="false">IF(COUNT(E39:H39)=0,"",SUM(E39:H39))</f>
        <v/>
      </c>
      <c r="J39" s="7"/>
    </row>
    <row r="40" customFormat="false" ht="15" hidden="false" customHeight="true" outlineLevel="0" collapsed="false">
      <c r="A40" s="6" t="s">
        <v>188</v>
      </c>
      <c r="B40" s="6" t="n">
        <v>9</v>
      </c>
      <c r="C40" s="7"/>
      <c r="D40" s="7"/>
      <c r="E40" s="7"/>
      <c r="F40" s="7"/>
      <c r="G40" s="7"/>
      <c r="H40" s="7"/>
      <c r="I40" s="6" t="str">
        <f aca="false">IF(COUNT(E40:H40)=0,"",SUM(E40:H40))</f>
        <v/>
      </c>
      <c r="J40" s="7"/>
    </row>
    <row r="41" customFormat="false" ht="15" hidden="false" customHeight="true" outlineLevel="0" collapsed="false">
      <c r="A41" s="6" t="s">
        <v>188</v>
      </c>
      <c r="B41" s="6" t="n">
        <v>10</v>
      </c>
      <c r="C41" s="7"/>
      <c r="D41" s="7"/>
      <c r="E41" s="7"/>
      <c r="F41" s="7"/>
      <c r="G41" s="7"/>
      <c r="H41" s="7"/>
      <c r="I41" s="6" t="str">
        <f aca="false">IF(COUNT(E41:H41)=0,"",SUM(E41:H41))</f>
        <v/>
      </c>
      <c r="J41" s="7"/>
    </row>
    <row r="42" customFormat="false" ht="15" hidden="false" customHeight="true" outlineLevel="0" collapsed="false">
      <c r="A42" s="6" t="s">
        <v>188</v>
      </c>
      <c r="B42" s="6" t="n">
        <v>11</v>
      </c>
      <c r="C42" s="7"/>
      <c r="D42" s="7"/>
      <c r="E42" s="7"/>
      <c r="F42" s="7"/>
      <c r="G42" s="7"/>
      <c r="H42" s="7"/>
      <c r="I42" s="6" t="str">
        <f aca="false">IF(COUNT(E42:H42)=0,"",SUM(E42:H42))</f>
        <v/>
      </c>
      <c r="J42" s="7"/>
    </row>
    <row r="43" customFormat="false" ht="15" hidden="false" customHeight="true" outlineLevel="0" collapsed="false">
      <c r="A43" s="6" t="s">
        <v>188</v>
      </c>
      <c r="B43" s="6" t="n">
        <v>12</v>
      </c>
      <c r="C43" s="7"/>
      <c r="D43" s="7"/>
      <c r="E43" s="7"/>
      <c r="F43" s="7"/>
      <c r="G43" s="7"/>
      <c r="H43" s="7"/>
      <c r="I43" s="6" t="str">
        <f aca="false">IF(COUNT(E43:H43)=0,"",SUM(E43:H43))</f>
        <v/>
      </c>
      <c r="J43" s="7"/>
    </row>
    <row r="44" customFormat="false" ht="15" hidden="false" customHeight="true" outlineLevel="0" collapsed="false">
      <c r="A44" s="6" t="s">
        <v>188</v>
      </c>
      <c r="B44" s="6" t="n">
        <v>13</v>
      </c>
      <c r="C44" s="7"/>
      <c r="D44" s="7"/>
      <c r="E44" s="7"/>
      <c r="F44" s="7"/>
      <c r="G44" s="7"/>
      <c r="H44" s="7"/>
      <c r="I44" s="6" t="str">
        <f aca="false">IF(COUNT(E44:H44)=0,"",SUM(E44:H44))</f>
        <v/>
      </c>
      <c r="J44" s="7"/>
    </row>
    <row r="45" customFormat="false" ht="15" hidden="false" customHeight="true" outlineLevel="0" collapsed="false">
      <c r="A45" s="6" t="s">
        <v>188</v>
      </c>
      <c r="B45" s="6" t="n">
        <v>14</v>
      </c>
      <c r="C45" s="7"/>
      <c r="D45" s="7"/>
      <c r="E45" s="7"/>
      <c r="F45" s="7"/>
      <c r="G45" s="7"/>
      <c r="H45" s="7"/>
      <c r="I45" s="6" t="str">
        <f aca="false">IF(COUNT(E45:H45)=0,"",SUM(E45:H45))</f>
        <v/>
      </c>
      <c r="J45" s="7"/>
    </row>
    <row r="46" customFormat="false" ht="15" hidden="false" customHeight="true" outlineLevel="0" collapsed="false">
      <c r="A46" s="6" t="s">
        <v>188</v>
      </c>
      <c r="B46" s="6" t="n">
        <v>15</v>
      </c>
      <c r="C46" s="7"/>
      <c r="D46" s="7"/>
      <c r="E46" s="7"/>
      <c r="F46" s="7"/>
      <c r="G46" s="7"/>
      <c r="H46" s="7"/>
      <c r="I46" s="6" t="str">
        <f aca="false">IF(COUNT(E46:H46)=0,"",SUM(E46:H46))</f>
        <v/>
      </c>
      <c r="J46" s="7"/>
    </row>
    <row r="47" customFormat="false" ht="15" hidden="false" customHeight="true" outlineLevel="0" collapsed="false">
      <c r="A47" s="6" t="s">
        <v>188</v>
      </c>
      <c r="B47" s="6" t="n">
        <v>16</v>
      </c>
      <c r="C47" s="7"/>
      <c r="D47" s="7"/>
      <c r="E47" s="7"/>
      <c r="F47" s="7"/>
      <c r="G47" s="7"/>
      <c r="H47" s="7"/>
      <c r="I47" s="6" t="str">
        <f aca="false">IF(COUNT(E47:H47)=0,"",SUM(E47:H47))</f>
        <v/>
      </c>
      <c r="J47" s="7"/>
    </row>
    <row r="48" customFormat="false" ht="15" hidden="false" customHeight="true" outlineLevel="0" collapsed="false">
      <c r="A48" s="6" t="s">
        <v>188</v>
      </c>
      <c r="B48" s="6" t="n">
        <v>17</v>
      </c>
      <c r="C48" s="7"/>
      <c r="D48" s="7"/>
      <c r="E48" s="7"/>
      <c r="F48" s="7"/>
      <c r="G48" s="7"/>
      <c r="H48" s="7"/>
      <c r="I48" s="6" t="str">
        <f aca="false">IF(COUNT(E48:H48)=0,"",SUM(E48:H48))</f>
        <v/>
      </c>
      <c r="J48" s="7"/>
    </row>
    <row r="49" customFormat="false" ht="15" hidden="false" customHeight="true" outlineLevel="0" collapsed="false">
      <c r="A49" s="6" t="s">
        <v>188</v>
      </c>
      <c r="B49" s="6" t="n">
        <v>18</v>
      </c>
      <c r="C49" s="7"/>
      <c r="D49" s="7"/>
      <c r="E49" s="7"/>
      <c r="F49" s="7"/>
      <c r="G49" s="7"/>
      <c r="H49" s="7"/>
      <c r="I49" s="6" t="str">
        <f aca="false">IF(COUNT(E49:H49)=0,"",SUM(E49:H49))</f>
        <v/>
      </c>
      <c r="J49" s="7"/>
    </row>
    <row r="50" customFormat="false" ht="15" hidden="false" customHeight="true" outlineLevel="0" collapsed="false">
      <c r="A50" s="6" t="s">
        <v>188</v>
      </c>
      <c r="B50" s="6" t="n">
        <v>19</v>
      </c>
      <c r="C50" s="7"/>
      <c r="D50" s="7"/>
      <c r="E50" s="7"/>
      <c r="F50" s="7"/>
      <c r="G50" s="7"/>
      <c r="H50" s="7"/>
      <c r="I50" s="6" t="str">
        <f aca="false">IF(COUNT(E50:H50)=0,"",SUM(E50:H50))</f>
        <v/>
      </c>
      <c r="J50" s="7"/>
    </row>
    <row r="51" customFormat="false" ht="15" hidden="false" customHeight="true" outlineLevel="0" collapsed="false">
      <c r="A51" s="6" t="s">
        <v>188</v>
      </c>
      <c r="B51" s="6" t="n">
        <v>20</v>
      </c>
      <c r="C51" s="7"/>
      <c r="D51" s="7"/>
      <c r="E51" s="7"/>
      <c r="F51" s="7"/>
      <c r="G51" s="7"/>
      <c r="H51" s="7"/>
      <c r="I51" s="6" t="str">
        <f aca="false">IF(COUNT(E51:H51)=0,"",SUM(E51:H51))</f>
        <v/>
      </c>
      <c r="J51" s="7"/>
    </row>
  </sheetData>
  <dataValidations count="4">
    <dataValidation allowBlank="true" errorStyle="stop" operator="between" showDropDown="false" showErrorMessage="false" showInputMessage="false" sqref="D12:D51" type="list">
      <formula1>"A,B,C,D"</formula1>
      <formula2>0</formula2>
    </dataValidation>
    <dataValidation allowBlank="true" errorStyle="stop" operator="between" showDropDown="false" showErrorMessage="false" showInputMessage="false" sqref="E12:F51" type="list">
      <formula1>"0,1"</formula1>
      <formula2>0</formula2>
    </dataValidation>
    <dataValidation allowBlank="true" errorStyle="stop" operator="between" showDropDown="false" showErrorMessage="false" showInputMessage="false" sqref="G12:G51" type="list">
      <formula1>"0,1,2"</formula1>
      <formula2>0</formula2>
    </dataValidation>
    <dataValidation allowBlank="true" errorStyle="stop" operator="between" showDropDown="false" showErrorMessage="false" showInputMessage="false" sqref="H12:H5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2026-10-28T00:46:39Z</dcterms:created>
  <dc:creator>openpyxl</dc:creator>
  <dc:description/>
  <dc:language>en-US</dc:language>
  <cp:lastModifiedBy/>
  <dcterms:modified xsi:type="dcterms:W3CDTF">2026-11-01T05:27:25Z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