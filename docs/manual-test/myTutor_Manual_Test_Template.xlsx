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Prompt" sheetId="3" state="visible" r:id="rId3"/>
    <sheet xmlns:r="http://schemas.openxmlformats.org/officeDocument/2006/relationships" name="Log" sheetId="4" state="visible" r:id="rId4"/>
    <sheet xmlns:r="http://schemas.openxmlformats.org/officeDocument/2006/relationships" name="Column guide" sheetId="5" state="visible" r:id="rId5"/>
    <sheet xmlns:r="http://schemas.openxmlformats.org/officeDocument/2006/relationships" name="Review tally" sheetId="6" state="visible" r:id="rId6"/>
    <sheet xmlns:r="http://schemas.openxmlformats.org/officeDocument/2006/relationships" name="Summary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\+0%;\-0%;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6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family val="2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0000"/>
      <sz val="14"/>
    </font>
    <font>
      <name val="Consolas"/>
      <charset val="1"/>
      <family val="0"/>
      <sz val="10"/>
    </font>
    <font>
      <name val="Arial"/>
      <charset val="1"/>
      <family val="0"/>
      <b val="1"/>
      <i val="1"/>
      <color rgb="FF000000"/>
      <sz val="10"/>
    </font>
    <font>
      <name val="Arial"/>
      <charset val="1"/>
      <family val="0"/>
      <i val="1"/>
      <color rgb="FF808080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i val="1"/>
      <color rgb="FF000000"/>
      <sz val="10"/>
    </font>
    <font>
      <name val="Arial"/>
      <charset val="1"/>
      <family val="0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A5F"/>
        <bgColor rgb="FF333333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A5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center" vertical="top" wrapText="1"/>
    </xf>
    <xf numFmtId="0" fontId="7" fillId="4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1" fontId="5" fillId="0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9" fontId="5" fillId="0" borderId="1" applyAlignment="1" pivotButton="0" quotePrefix="0" xfId="0">
      <alignment horizontal="center" vertical="top" wrapText="1"/>
    </xf>
    <xf numFmtId="2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8" fillId="2" borderId="2" applyAlignment="1" pivotButton="0" quotePrefix="0" xfId="0">
      <alignment horizontal="general" vertical="top" wrapText="1"/>
    </xf>
    <xf numFmtId="0" fontId="8" fillId="2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 wrapText="1"/>
    </xf>
    <xf numFmtId="1" fontId="5" fillId="0" borderId="2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wrapText="1"/>
    </xf>
    <xf numFmtId="9" fontId="5" fillId="0" borderId="2" applyAlignment="1" pivotButton="0" quotePrefix="0" xfId="0">
      <alignment horizontal="center" vertical="top" wrapText="1"/>
    </xf>
    <xf numFmtId="2" fontId="5" fillId="0" borderId="2" applyAlignment="1" pivotButton="0" quotePrefix="0" xfId="0">
      <alignment horizontal="center" vertical="top" wrapText="1"/>
    </xf>
    <xf numFmtId="2" fontId="8" fillId="2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general" vertical="bottom"/>
    </xf>
    <xf numFmtId="0" fontId="15" fillId="5" borderId="1" applyAlignment="1" pivotButton="0" quotePrefix="0" xfId="0">
      <alignment horizontal="center" vertical="top" wrapText="1"/>
    </xf>
    <xf numFmtId="0" fontId="15" fillId="5" borderId="1" applyAlignment="1" pivotButton="0" quotePrefix="0" xfId="0">
      <alignment horizontal="general" vertical="top" wrapText="1"/>
    </xf>
    <xf numFmtId="164" fontId="15" fillId="5" borderId="1" applyAlignment="1" pivotButton="0" quotePrefix="0" xfId="0">
      <alignment horizontal="center" vertical="top" wrapText="1"/>
    </xf>
    <xf numFmtId="9" fontId="15" fillId="5" borderId="1" applyAlignment="1" pivotButton="0" quotePrefix="0" xfId="0">
      <alignment horizontal="center" vertical="top" wrapText="1"/>
    </xf>
    <xf numFmtId="2" fontId="15" fillId="5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center" vertical="top" wrapText="1"/>
    </xf>
    <xf numFmtId="0" fontId="7" fillId="4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1" fontId="5" fillId="0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9" fontId="5" fillId="0" borderId="1" applyAlignment="1" pivotButton="0" quotePrefix="0" xfId="0">
      <alignment horizontal="center" vertical="top" wrapText="1"/>
    </xf>
    <xf numFmtId="2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8" fillId="2" borderId="2" applyAlignment="1" pivotButton="0" quotePrefix="0" xfId="0">
      <alignment horizontal="general" vertical="top" wrapText="1"/>
    </xf>
    <xf numFmtId="0" fontId="8" fillId="2" borderId="2" applyAlignment="1" pivotButton="0" quotePrefix="0" xfId="0">
      <alignment horizontal="center" vertical="top" wrapText="1"/>
    </xf>
    <xf numFmtId="0" fontId="5" fillId="5" borderId="2" applyAlignment="1" pivotButton="0" quotePrefix="0" xfId="0">
      <alignment horizontal="center" vertical="top" wrapText="1"/>
    </xf>
    <xf numFmtId="1" fontId="5" fillId="0" borderId="2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wrapText="1"/>
    </xf>
    <xf numFmtId="9" fontId="5" fillId="0" borderId="2" applyAlignment="1" pivotButton="0" quotePrefix="0" xfId="0">
      <alignment horizontal="center" vertical="top" wrapText="1"/>
    </xf>
    <xf numFmtId="2" fontId="5" fillId="0" borderId="2" applyAlignment="1" pivotButton="0" quotePrefix="0" xfId="0">
      <alignment horizontal="center" vertical="top" wrapText="1"/>
    </xf>
    <xf numFmtId="2" fontId="8" fillId="2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general" vertical="bottom"/>
    </xf>
    <xf numFmtId="0" fontId="15" fillId="5" borderId="1" applyAlignment="1" pivotButton="0" quotePrefix="0" xfId="0">
      <alignment horizontal="center" vertical="top" wrapText="1"/>
    </xf>
    <xf numFmtId="0" fontId="15" fillId="5" borderId="1" applyAlignment="1" pivotButton="0" quotePrefix="0" xfId="0">
      <alignment horizontal="general" vertical="top" wrapText="1"/>
    </xf>
    <xf numFmtId="164" fontId="15" fillId="5" borderId="1" applyAlignment="1" pivotButton="0" quotePrefix="0" xfId="0">
      <alignment horizontal="center" vertical="top" wrapText="1"/>
    </xf>
    <xf numFmtId="9" fontId="15" fillId="5" borderId="1" applyAlignment="1" pivotButton="0" quotePrefix="0" xfId="0">
      <alignment horizontal="center" vertical="top" wrapText="1"/>
    </xf>
    <xf numFmtId="2" fontId="15" fillId="5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1" fillId="2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C6" authorId="0" shapeId="0">
      <text>
        <t>Course code used in the notes' frontmatter</t>
      </text>
    </comment>
    <comment ref="C7" authorId="0" shapeId="0">
      <text>
        <t>Teaching day being tested</t>
      </text>
    </comment>
    <comment ref="C8" authorId="0" shapeId="0">
      <text>
        <t>Date written into the notes (YYYY-MM-DD)</t>
      </text>
    </comment>
    <comment ref="C9" authorId="0" shapeId="0">
      <text>
        <t>The chat tool used before myTutor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5" authorId="0" shapeId="0">
      <text>
        <t>Exact file name, with extension. Fill before starting the stopwatch.</t>
      </text>
    </comment>
    <comment ref="C6" authorId="0" shapeId="0">
      <text>
        <t>slides, reading or case. Fill before starting the stopwatch.</t>
      </text>
    </comment>
    <comment ref="C7" authorId="0" shapeId="0">
      <text>
        <t>Fill AFTER starting the stopwatch (step B4). 3 to 6 concepts, using the file's own names; add 'Case: name' only if the file has a real case.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E2" authorId="0" shapeId="0">
      <text>
        <t>Word count of the Sections 3 and 5 file (counted from the PDF). Replace with the count in the job extract.json if it differs.</t>
      </text>
    </comment>
    <comment ref="F7" authorId="0" shapeId="0">
      <text>
        <t>Review = 15 s per note: stopwatch average over the 5 files; spot-check of links + one concept, same check as the manual run.</t>
      </text>
    </comment>
    <comment ref="G7" authorId="0" shapeId="0">
      <text>
        <t>generate_runs.csv, job 2026-10-22_160020: 49.7 seconds</t>
      </text>
    </comment>
    <comment ref="K7" authorId="0" shapeId="0">
      <text>
        <t>All notes passed the 5 checks in review (Henry, 22 Oct 2026).</t>
      </text>
    </comment>
    <comment ref="M7" authorId="0" shapeId="0">
      <text>
        <t>links_to_existing from generate_runs.csv</t>
      </text>
    </comment>
    <comment ref="F8" authorId="0" shapeId="0">
      <text>
        <t>Review = 15 s per note: stopwatch average over the 5 files; spot-check of links + one concept, same check as the manual run.</t>
      </text>
    </comment>
    <comment ref="G8" authorId="0" shapeId="0">
      <text>
        <t>generate_runs.csv, job 2026-10-22_160020: 42.6 seconds</t>
      </text>
    </comment>
    <comment ref="K8" authorId="0" shapeId="0">
      <text>
        <t>All notes passed the 5 checks in review (Henry, 22 Oct 2026).</t>
      </text>
    </comment>
    <comment ref="M8" authorId="0" shapeId="0">
      <text>
        <t>links_to_existing from generate_runs.csv</t>
      </text>
    </comment>
    <comment ref="F9" authorId="0" shapeId="0">
      <text>
        <t>Review = 15 s per note: stopwatch average over the 5 files; spot-check of links + one concept, same check as the manual run.</t>
      </text>
    </comment>
    <comment ref="G9" authorId="0" shapeId="0">
      <text>
        <t>generate_runs.csv, job 2026-10-22_160020: 52.8 seconds</t>
      </text>
    </comment>
    <comment ref="K9" authorId="0" shapeId="0">
      <text>
        <t>All notes passed the 5 checks in review (Henry, 22 Oct 2026).</t>
      </text>
    </comment>
    <comment ref="M9" authorId="0" shapeId="0">
      <text>
        <t>links_to_existing from generate_runs.csv</t>
      </text>
    </comment>
    <comment ref="F10" authorId="0" shapeId="0">
      <text>
        <t>Review = 15 s per note: stopwatch average over the 5 files; spot-check of links + one concept, same check as the manual run.</t>
      </text>
    </comment>
    <comment ref="G10" authorId="0" shapeId="0">
      <text>
        <t>generate_runs.csv, job 2026-10-22_160020: 33.8 seconds</t>
      </text>
    </comment>
    <comment ref="K10" authorId="0" shapeId="0">
      <text>
        <t>All notes passed the 5 checks in review (Henry, 22 Oct 2026).</t>
      </text>
    </comment>
    <comment ref="M10" authorId="0" shapeId="0">
      <text>
        <t>links_to_existing from generate_runs.csv</t>
      </text>
    </comment>
    <comment ref="F11" authorId="0" shapeId="0">
      <text>
        <t>Review = 15 s per note: stopwatch average over the 5 files; spot-check of links + one concept, same check as the manual run.</t>
      </text>
    </comment>
    <comment ref="G11" authorId="0" shapeId="0">
      <text>
        <t>generate_runs.csv, job 2026-10-22_160020: 37.4 seconds</t>
      </text>
    </comment>
    <comment ref="K11" authorId="0" shapeId="0">
      <text>
        <t>All notes passed the 5 checks in review (Henry, 22 Oct 2026).</t>
      </text>
    </comment>
    <comment ref="M11" authorId="0" shapeId="0">
      <text>
        <t>links_to_existing from generate_runs.csv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3" activeCellId="0" sqref="G13"/>
    </sheetView>
  </sheetViews>
  <sheetFormatPr baseColWidth="8" defaultColWidth="8.6328125" defaultRowHeight="14.25" zeroHeight="0" outlineLevelRow="0"/>
  <cols>
    <col width="3" customWidth="1" style="50" min="1" max="1"/>
    <col width="26" customWidth="1" style="50" min="2" max="2"/>
    <col width="60" customWidth="1" style="50" min="3" max="3"/>
  </cols>
  <sheetData>
    <row r="2" ht="19.5" customHeight="1" s="51">
      <c r="B2" s="52" t="inlineStr">
        <is>
          <t>myTutor manual baseline test</t>
        </is>
      </c>
    </row>
    <row r="3" ht="14.25" customHeight="1" s="51">
      <c r="B3" s="53" t="inlineStr">
        <is>
          <t>Follow the Steps sheet from top to bottom. Tick each step as you finish it.</t>
        </is>
      </c>
    </row>
    <row r="5" ht="14.25" customHeight="1" s="51">
      <c r="B5" s="54" t="inlineStr">
        <is>
          <t>Test settings</t>
        </is>
      </c>
    </row>
    <row r="6" ht="14.25" customHeight="1" s="51">
      <c r="B6" s="55" t="inlineStr">
        <is>
          <t>Course code</t>
        </is>
      </c>
      <c r="C6" s="56" t="inlineStr">
        <is>
          <t>&lt;COURSE CODE&gt;</t>
        </is>
      </c>
    </row>
    <row r="7" ht="14.25" customHeight="1" s="51">
      <c r="B7" s="55" t="inlineStr">
        <is>
          <t>Day</t>
        </is>
      </c>
      <c r="C7" s="56" t="inlineStr">
        <is>
          <t>&lt;Day N&gt;</t>
        </is>
      </c>
    </row>
    <row r="8" ht="14.25" customHeight="1" s="51">
      <c r="B8" s="55" t="inlineStr">
        <is>
          <t>Date</t>
        </is>
      </c>
      <c r="C8" s="56" t="inlineStr">
        <is>
          <t>&lt;YYYY-MM-DD&gt;</t>
        </is>
      </c>
    </row>
    <row r="9" ht="14.25" customHeight="1" s="51">
      <c r="B9" s="55" t="inlineStr">
        <is>
          <t>AI chat used</t>
        </is>
      </c>
      <c r="C9" s="56" t="inlineStr">
        <is>
          <t>&lt;AI chat app&gt;</t>
        </is>
      </c>
    </row>
    <row r="10" ht="14.25" customHeight="1" s="51">
      <c r="B10" s="53" t="n"/>
      <c r="C10" s="53" t="n"/>
    </row>
    <row r="11" ht="14.25" customHeight="1" s="51">
      <c r="B11" s="55" t="inlineStr">
        <is>
          <t>Test folder in the vault</t>
        </is>
      </c>
      <c r="C11" s="53">
        <f>C6&amp;"/"&amp;C7&amp;"/Baseline"</f>
        <v/>
      </c>
    </row>
    <row r="12" ht="14.25" customHeight="1" s="51">
      <c r="B12" s="53" t="n"/>
      <c r="C12" s="53" t="n"/>
    </row>
    <row r="13" ht="14.25" customHeight="1" s="51">
      <c r="B13" s="54" t="inlineStr">
        <is>
          <t>Legend</t>
        </is>
      </c>
      <c r="C13" s="53" t="n"/>
    </row>
    <row r="14" ht="14.25" customHeight="1" s="51">
      <c r="B14" s="57" t="inlineStr">
        <is>
          <t>Yellow cell</t>
        </is>
      </c>
      <c r="C14" s="53" t="inlineStr">
        <is>
          <t>You type here. Everything else fills itself.</t>
        </is>
      </c>
    </row>
    <row r="15" ht="14.25" customHeight="1" s="51">
      <c r="B15" s="53" t="inlineStr">
        <is>
          <t>▶ / ■</t>
        </is>
      </c>
      <c r="C15" s="53" t="inlineStr">
        <is>
          <t>Start / stop the stopwatch at this step</t>
        </is>
      </c>
    </row>
    <row r="16" ht="14.25" customHeight="1" s="51">
      <c r="B16" s="53" t="inlineStr">
        <is>
          <t>Timed?</t>
        </is>
      </c>
      <c r="C16" s="53" t="inlineStr">
        <is>
          <t>Yes = inside the stopwatch time; No = before or after it</t>
        </is>
      </c>
    </row>
    <row r="17" ht="14.25" customHeight="1" s="51">
      <c r="B17" s="53" t="n"/>
      <c r="C17" s="53" t="n"/>
    </row>
    <row r="18" ht="14.25" customHeight="1" s="51">
      <c r="B18" s="54" t="inlineStr">
        <is>
          <t>Sheets</t>
        </is>
      </c>
      <c r="C18" s="53" t="n"/>
    </row>
    <row r="19" ht="14.25" customHeight="1" s="51">
      <c r="B19" s="55" t="inlineStr">
        <is>
          <t>Steps</t>
        </is>
      </c>
      <c r="C19" s="53" t="inlineStr">
        <is>
          <t>The test, step by step, with tick boxes for files 1 to 5</t>
        </is>
      </c>
    </row>
    <row r="20" ht="14.25" customHeight="1" s="51">
      <c r="B20" s="55" t="inlineStr">
        <is>
          <t>Prompt</t>
        </is>
      </c>
      <c r="C20" s="53" t="inlineStr">
        <is>
          <t>Fill 3 yellow cells; copy the finished prompt into the AI chat</t>
        </is>
      </c>
    </row>
    <row r="21" ht="14.25" customHeight="1" s="51">
      <c r="B21" s="55" t="inlineStr">
        <is>
          <t>Log</t>
        </is>
      </c>
      <c r="C21" s="53" t="inlineStr">
        <is>
          <t>One row per file per method; formulas do the maths</t>
        </is>
      </c>
    </row>
    <row r="22" ht="14.25" customHeight="1" s="51">
      <c r="B22" s="55" t="inlineStr">
        <is>
          <t>Summary</t>
        </is>
      </c>
      <c r="C22" s="53" t="inlineStr">
        <is>
          <t>KPI averages and % change, filled automatically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L22" activeCellId="0" sqref="L22"/>
    </sheetView>
  </sheetViews>
  <sheetFormatPr baseColWidth="8" defaultColWidth="8.6328125" defaultRowHeight="14.25" zeroHeight="0" outlineLevelRow="0"/>
  <cols>
    <col width="15.27" customWidth="1" style="50" min="1" max="1"/>
    <col width="19.63" customWidth="1" style="50" min="2" max="2"/>
    <col width="34" customWidth="1" style="50" min="3" max="3"/>
    <col width="70" customWidth="1" style="50" min="4" max="4"/>
    <col width="8" customWidth="1" style="50" min="5" max="5"/>
    <col width="24.36" customWidth="1" style="50" min="6" max="6"/>
    <col width="12.36" customWidth="1" style="50" min="7" max="7"/>
    <col width="10.36" customWidth="1" style="50" min="8" max="8"/>
    <col width="9.359999999999999" customWidth="1" style="50" min="9" max="9"/>
    <col width="10.18" customWidth="1" style="50" min="10" max="10"/>
  </cols>
  <sheetData>
    <row r="1" ht="14.25" customHeight="1" s="51">
      <c r="A1" s="58" t="inlineStr">
        <is>
          <t>Part</t>
        </is>
      </c>
      <c r="B1" s="58" t="inlineStr">
        <is>
          <t>Step</t>
        </is>
      </c>
      <c r="C1" s="58" t="inlineStr">
        <is>
          <t>What to do</t>
        </is>
      </c>
      <c r="D1" s="58" t="inlineStr">
        <is>
          <t>How / detail</t>
        </is>
      </c>
      <c r="E1" s="58" t="inlineStr">
        <is>
          <t>Timed?</t>
        </is>
      </c>
      <c r="F1" s="58" t="inlineStr">
        <is>
          <t>File 1</t>
        </is>
      </c>
      <c r="G1" s="58" t="inlineStr">
        <is>
          <t>File 2</t>
        </is>
      </c>
      <c r="H1" s="58" t="inlineStr">
        <is>
          <t>File 3</t>
        </is>
      </c>
      <c r="I1" s="58" t="inlineStr">
        <is>
          <t>File 4</t>
        </is>
      </c>
      <c r="J1" s="58" t="inlineStr">
        <is>
          <t>File 5</t>
        </is>
      </c>
    </row>
    <row r="2" ht="14.25" customHeight="1" s="51">
      <c r="A2" s="59" t="inlineStr">
        <is>
          <t>Part A: Set up once (not timed) — tick under File 1</t>
        </is>
      </c>
    </row>
    <row r="3" ht="14.25" customHeight="1" s="51">
      <c r="A3" s="60" t="inlineStr">
        <is>
          <t>A</t>
        </is>
      </c>
      <c r="B3" s="60" t="inlineStr">
        <is>
          <t>A1</t>
        </is>
      </c>
      <c r="C3" s="61" t="inlineStr">
        <is>
          <t>Fill the test settings</t>
        </is>
      </c>
      <c r="D3" s="62" t="inlineStr">
        <is>
          <t>On the Start sheet, fill the yellow cells: course code, day, date.</t>
        </is>
      </c>
      <c r="E3" s="60" t="inlineStr">
        <is>
          <t>No</t>
        </is>
      </c>
      <c r="F3" s="63" t="n"/>
      <c r="G3" s="64" t="n"/>
      <c r="H3" s="64" t="n"/>
      <c r="I3" s="64" t="n"/>
      <c r="J3" s="64" t="n"/>
    </row>
    <row r="4" ht="24.75" customHeight="1" s="51">
      <c r="A4" s="60" t="inlineStr">
        <is>
          <t>A</t>
        </is>
      </c>
      <c r="B4" s="60" t="inlineStr">
        <is>
          <t>A2</t>
        </is>
      </c>
      <c r="C4" s="61" t="inlineStr">
        <is>
          <t>Save the 5 test files</t>
        </is>
      </c>
      <c r="D4" s="62" t="inlineStr">
        <is>
          <t>Download the 5 files for the day into one local folder. Downloading is not timed (it is the same with myTutor).</t>
        </is>
      </c>
      <c r="E4" s="60" t="inlineStr">
        <is>
          <t>No</t>
        </is>
      </c>
      <c r="F4" s="63" t="n"/>
      <c r="G4" s="64" t="n"/>
      <c r="H4" s="64" t="n"/>
      <c r="I4" s="64" t="n"/>
      <c r="J4" s="64" t="n"/>
    </row>
    <row r="5" ht="24.75" customHeight="1" s="51">
      <c r="A5" s="60" t="inlineStr">
        <is>
          <t>A</t>
        </is>
      </c>
      <c r="B5" s="60" t="inlineStr">
        <is>
          <t>A3</t>
        </is>
      </c>
      <c r="C5" s="61" t="inlineStr">
        <is>
          <t>Fix the order</t>
        </is>
      </c>
      <c r="D5" s="62" t="inlineStr">
        <is>
          <t>Type the 5 file names into the Log sheet, File column, rows File 1 to File 5. Do not change the order later.</t>
        </is>
      </c>
      <c r="E5" s="60" t="inlineStr">
        <is>
          <t>No</t>
        </is>
      </c>
      <c r="F5" s="63" t="n"/>
      <c r="G5" s="64" t="n"/>
      <c r="H5" s="64" t="n"/>
      <c r="I5" s="64" t="n"/>
      <c r="J5" s="64" t="n"/>
    </row>
    <row r="6" ht="14.25" customHeight="1" s="51">
      <c r="A6" s="60" t="inlineStr">
        <is>
          <t>A</t>
        </is>
      </c>
      <c r="B6" s="60" t="inlineStr">
        <is>
          <t>A4</t>
        </is>
      </c>
      <c r="C6" s="61" t="inlineStr">
        <is>
          <t>Open the tools</t>
        </is>
      </c>
      <c r="D6" s="62" t="inlineStr">
        <is>
          <t>Open the AI chat (see Start sheet), Obsidian with your vault, and a stopwatch.</t>
        </is>
      </c>
      <c r="E6" s="60" t="inlineStr">
        <is>
          <t>No</t>
        </is>
      </c>
      <c r="F6" s="63" t="n"/>
      <c r="G6" s="64" t="n"/>
      <c r="H6" s="64" t="n"/>
      <c r="I6" s="64" t="n"/>
      <c r="J6" s="64" t="n"/>
    </row>
    <row r="7" ht="24.75" customHeight="1" s="51">
      <c r="A7" s="60" t="inlineStr">
        <is>
          <t>A</t>
        </is>
      </c>
      <c r="B7" s="60" t="inlineStr">
        <is>
          <t>A5</t>
        </is>
      </c>
      <c r="C7" s="61" t="inlineStr">
        <is>
          <t>Create the test folder</t>
        </is>
      </c>
      <c r="D7" s="62">
        <f>"In Obsidian create the folder "&amp;Start!$C$11&amp;" with four sub-folders: Ref, Core, Cases, Quizzes."</f>
        <v/>
      </c>
      <c r="E7" s="60" t="inlineStr">
        <is>
          <t>No</t>
        </is>
      </c>
      <c r="F7" s="63" t="n"/>
      <c r="G7" s="64" t="n"/>
      <c r="H7" s="64" t="n"/>
      <c r="I7" s="64" t="n"/>
      <c r="J7" s="64" t="n"/>
    </row>
    <row r="8" ht="24.75" customHeight="1" s="51">
      <c r="A8" s="60" t="inlineStr">
        <is>
          <t>A</t>
        </is>
      </c>
      <c r="B8" s="60" t="inlineStr">
        <is>
          <t>A6</t>
        </is>
      </c>
      <c r="C8" s="61" t="inlineStr">
        <is>
          <t>Keep myTutor's notes closed</t>
        </is>
      </c>
      <c r="D8" s="62" t="inlineStr">
        <is>
          <t>Do not open myTutor's notes for these 5 files until Part D. Seeing them first would make the manual run quicker than normal.</t>
        </is>
      </c>
      <c r="E8" s="60" t="inlineStr">
        <is>
          <t>No</t>
        </is>
      </c>
      <c r="F8" s="63" t="n"/>
      <c r="G8" s="64" t="n"/>
      <c r="H8" s="64" t="n"/>
      <c r="I8" s="64" t="n"/>
      <c r="J8" s="64" t="n"/>
    </row>
    <row r="9" ht="14.25" customHeight="1" s="51">
      <c r="A9" s="59" t="inlineStr">
        <is>
          <t>Part B: Manual run — repeat for each file, tick each file's column</t>
        </is>
      </c>
    </row>
    <row r="10" ht="14.25" customHeight="1" s="51">
      <c r="A10" s="60" t="inlineStr">
        <is>
          <t>B</t>
        </is>
      </c>
      <c r="B10" s="60" t="inlineStr">
        <is>
          <t>B1</t>
        </is>
      </c>
      <c r="C10" s="61" t="inlineStr">
        <is>
          <t>Set up the prompt</t>
        </is>
      </c>
      <c r="D10" s="62" t="inlineStr">
        <is>
          <t>Prompt sheet: type the File name and Type (slides / reading / case).</t>
        </is>
      </c>
      <c r="E10" s="60" t="inlineStr">
        <is>
          <t>No</t>
        </is>
      </c>
      <c r="F10" s="63" t="n"/>
      <c r="G10" s="63" t="n"/>
      <c r="H10" s="63" t="n"/>
      <c r="I10" s="63" t="n"/>
      <c r="J10" s="63" t="n"/>
    </row>
    <row r="11" ht="14.25" customHeight="1" s="51">
      <c r="A11" s="60" t="inlineStr">
        <is>
          <t>B</t>
        </is>
      </c>
      <c r="B11" s="60" t="inlineStr">
        <is>
          <t>B2</t>
        </is>
      </c>
      <c r="C11" s="61" t="inlineStr">
        <is>
          <t>Start a new chat</t>
        </is>
      </c>
      <c r="D11" s="62" t="inlineStr">
        <is>
          <t>New chat in the AI app, so nothing carries over from the last file.</t>
        </is>
      </c>
      <c r="E11" s="60" t="inlineStr">
        <is>
          <t>No</t>
        </is>
      </c>
      <c r="F11" s="63" t="n"/>
      <c r="G11" s="63" t="n"/>
      <c r="H11" s="63" t="n"/>
      <c r="I11" s="63" t="n"/>
      <c r="J11" s="63" t="n"/>
    </row>
    <row r="12" ht="14.25" customHeight="1" s="51">
      <c r="A12" s="60" t="inlineStr">
        <is>
          <t>B</t>
        </is>
      </c>
      <c r="B12" s="60" t="inlineStr">
        <is>
          <t>B3</t>
        </is>
      </c>
      <c r="C12" s="61" t="inlineStr">
        <is>
          <t>▶ Start the stopwatch</t>
        </is>
      </c>
      <c r="D12" s="62" t="inlineStr">
        <is>
          <t>Start it as you open the file from your local folder.</t>
        </is>
      </c>
      <c r="E12" s="65" t="inlineStr">
        <is>
          <t>Yes</t>
        </is>
      </c>
      <c r="F12" s="63" t="n"/>
      <c r="G12" s="63" t="n"/>
      <c r="H12" s="63" t="n"/>
      <c r="I12" s="63" t="n"/>
      <c r="J12" s="63" t="n"/>
    </row>
    <row r="13" ht="37.5" customHeight="1" s="51">
      <c r="A13" s="60" t="inlineStr">
        <is>
          <t>B</t>
        </is>
      </c>
      <c r="B13" s="60" t="inlineStr">
        <is>
          <t>B4</t>
        </is>
      </c>
      <c r="C13" s="61" t="inlineStr">
        <is>
          <t>List what to take notes on</t>
        </is>
      </c>
      <c r="D13" s="62" t="inlineStr">
        <is>
          <t>Skim the file only as far as needed. Type 3 to 6 key concepts (the file's own names) into the Prompt sheet's Concepts cell. Add 'Case: name' only if the file discusses a real organisation in depth. Concepts already in the vault still go on the list.</t>
        </is>
      </c>
      <c r="E13" s="65" t="inlineStr">
        <is>
          <t>Yes</t>
        </is>
      </c>
      <c r="F13" s="63" t="n"/>
      <c r="G13" s="63" t="n"/>
      <c r="H13" s="63" t="n"/>
      <c r="I13" s="63" t="n"/>
      <c r="J13" s="63" t="n"/>
    </row>
    <row r="14" ht="24.75" customHeight="1" s="51">
      <c r="A14" s="60" t="inlineStr">
        <is>
          <t>B</t>
        </is>
      </c>
      <c r="B14" s="60" t="inlineStr">
        <is>
          <t>B5</t>
        </is>
      </c>
      <c r="C14" s="61" t="inlineStr">
        <is>
          <t>Send the prompt</t>
        </is>
      </c>
      <c r="D14" s="62" t="inlineStr">
        <is>
          <t>Upload the file to the chat. On the Prompt sheet select C11:C50, copy, paste into the chat, send.</t>
        </is>
      </c>
      <c r="E14" s="65" t="inlineStr">
        <is>
          <t>Yes</t>
        </is>
      </c>
      <c r="F14" s="63" t="n"/>
      <c r="G14" s="63" t="n"/>
      <c r="H14" s="63" t="n"/>
      <c r="I14" s="63" t="n"/>
      <c r="J14" s="63" t="n"/>
    </row>
    <row r="15" ht="24.75" customHeight="1" s="51">
      <c r="A15" s="60" t="inlineStr">
        <is>
          <t>B</t>
        </is>
      </c>
      <c r="B15" s="60" t="inlineStr">
        <is>
          <t>B6</t>
        </is>
      </c>
      <c r="C15" s="61" t="inlineStr">
        <is>
          <t>Wait for the answer</t>
        </is>
      </c>
      <c r="D15" s="62" t="inlineStr">
        <is>
          <t>If the reply is cut off or wrong, ask it to continue or fix it. Keep the stopwatch running; note it in Log &gt; Comments.</t>
        </is>
      </c>
      <c r="E15" s="65" t="inlineStr">
        <is>
          <t>Yes</t>
        </is>
      </c>
      <c r="F15" s="63" t="n"/>
      <c r="G15" s="63" t="n"/>
      <c r="H15" s="63" t="n"/>
      <c r="I15" s="63" t="n"/>
      <c r="J15" s="63" t="n"/>
    </row>
    <row r="16" ht="24.75" customHeight="1" s="51">
      <c r="A16" s="60" t="inlineStr">
        <is>
          <t>B</t>
        </is>
      </c>
      <c r="B16" s="60" t="inlineStr">
        <is>
          <t>B7</t>
        </is>
      </c>
      <c r="C16" s="61" t="inlineStr">
        <is>
          <t>Create the Ref note</t>
        </is>
      </c>
      <c r="D16" s="62" t="inlineStr">
        <is>
          <t>In Baseline/Ref, name it after the file. Paste the reference note. Add a link to the original file on its first line.</t>
        </is>
      </c>
      <c r="E16" s="65" t="inlineStr">
        <is>
          <t>Yes</t>
        </is>
      </c>
      <c r="F16" s="63" t="n"/>
      <c r="G16" s="63" t="n"/>
      <c r="H16" s="63" t="n"/>
      <c r="I16" s="63" t="n"/>
      <c r="J16" s="63" t="n"/>
    </row>
    <row r="17" ht="24.75" customHeight="1" s="51">
      <c r="A17" s="60" t="inlineStr">
        <is>
          <t>B</t>
        </is>
      </c>
      <c r="B17" s="60" t="inlineStr">
        <is>
          <t>B8</t>
        </is>
      </c>
      <c r="C17" s="61" t="inlineStr">
        <is>
          <t>Create or link Core notes</t>
        </is>
      </c>
      <c r="D17" s="62" t="inlineStr">
        <is>
          <t>For each concept, first search the vault (Ctrl+O). Note already exists: link to it, do not create a new one. Otherwise create it in Baseline/Core, named in title case.</t>
        </is>
      </c>
      <c r="E17" s="65" t="inlineStr">
        <is>
          <t>Yes</t>
        </is>
      </c>
      <c r="F17" s="63" t="n"/>
      <c r="G17" s="63" t="n"/>
      <c r="H17" s="63" t="n"/>
      <c r="I17" s="63" t="n"/>
      <c r="J17" s="63" t="n"/>
    </row>
    <row r="18" ht="14.25" customHeight="1" s="51">
      <c r="A18" s="60" t="inlineStr">
        <is>
          <t>B</t>
        </is>
      </c>
      <c r="B18" s="60" t="inlineStr">
        <is>
          <t>B9</t>
        </is>
      </c>
      <c r="C18" s="61" t="inlineStr">
        <is>
          <t>Create the Case note</t>
        </is>
      </c>
      <c r="D18" s="62" t="inlineStr">
        <is>
          <t>Only if the file has a case: in Baseline/Cases, named 'Case - Organisation'.</t>
        </is>
      </c>
      <c r="E18" s="65" t="inlineStr">
        <is>
          <t>Yes</t>
        </is>
      </c>
      <c r="F18" s="63" t="n"/>
      <c r="G18" s="63" t="n"/>
      <c r="H18" s="63" t="n"/>
      <c r="I18" s="63" t="n"/>
      <c r="J18" s="63" t="n"/>
    </row>
    <row r="19" ht="14.25" customHeight="1" s="51">
      <c r="A19" s="60" t="inlineStr">
        <is>
          <t>B</t>
        </is>
      </c>
      <c r="B19" s="60" t="inlineStr">
        <is>
          <t>B10</t>
        </is>
      </c>
      <c r="C19" s="61" t="inlineStr">
        <is>
          <t>Create the Quiz note</t>
        </is>
      </c>
      <c r="D19" s="62" t="inlineStr">
        <is>
          <t>In Baseline/Quizzes, named 'Quiz - &lt;course&gt; &lt;day&gt; - &lt;file title&gt;'.</t>
        </is>
      </c>
      <c r="E19" s="65" t="inlineStr">
        <is>
          <t>Yes</t>
        </is>
      </c>
      <c r="F19" s="63" t="n"/>
      <c r="G19" s="63" t="n"/>
      <c r="H19" s="63" t="n"/>
      <c r="I19" s="63" t="n"/>
      <c r="J19" s="63" t="n"/>
    </row>
    <row r="20" ht="24.75" customHeight="1" s="51">
      <c r="A20" s="60" t="inlineStr">
        <is>
          <t>B</t>
        </is>
      </c>
      <c r="B20" s="60" t="inlineStr">
        <is>
          <t>B11</t>
        </is>
      </c>
      <c r="C20" s="61" t="inlineStr">
        <is>
          <t>Check the links</t>
        </is>
      </c>
      <c r="D20" s="62" t="inlineStr">
        <is>
          <t>Ref links to every new note; every new note links back to Ref and to at least one existing note. Tip: Backlinks &gt; Unlinked mentions &gt; Link.</t>
        </is>
      </c>
      <c r="E20" s="65" t="inlineStr">
        <is>
          <t>Yes</t>
        </is>
      </c>
      <c r="F20" s="63" t="n"/>
      <c r="G20" s="63" t="n"/>
      <c r="H20" s="63" t="n"/>
      <c r="I20" s="63" t="n"/>
      <c r="J20" s="63" t="n"/>
    </row>
    <row r="21" ht="14.25" customHeight="1" s="51">
      <c r="A21" s="60" t="inlineStr">
        <is>
          <t>B</t>
        </is>
      </c>
      <c r="B21" s="60" t="inlineStr">
        <is>
          <t>B12</t>
        </is>
      </c>
      <c r="C21" s="61" t="inlineStr">
        <is>
          <t>Read every note once</t>
        </is>
      </c>
      <c r="D21" s="62" t="inlineStr">
        <is>
          <t>Fix anything clearly wrong.</t>
        </is>
      </c>
      <c r="E21" s="65" t="inlineStr">
        <is>
          <t>Yes</t>
        </is>
      </c>
      <c r="F21" s="63" t="n"/>
      <c r="G21" s="63" t="n"/>
      <c r="H21" s="63" t="n"/>
      <c r="I21" s="63" t="n"/>
      <c r="J21" s="63" t="n"/>
    </row>
    <row r="22" ht="24.75" customHeight="1" s="51">
      <c r="A22" s="60" t="inlineStr">
        <is>
          <t>B</t>
        </is>
      </c>
      <c r="B22" s="60" t="inlineStr">
        <is>
          <t>B13</t>
        </is>
      </c>
      <c r="C22" s="61" t="inlineStr">
        <is>
          <t>■ Stop the stopwatch</t>
        </is>
      </c>
      <c r="D22" s="62" t="inlineStr">
        <is>
          <t>Pause it during the test for anything unrelated (calls, breaks). Do not reread the file for study.</t>
        </is>
      </c>
      <c r="E22" s="65" t="inlineStr">
        <is>
          <t>Yes</t>
        </is>
      </c>
      <c r="F22" s="63" t="n"/>
      <c r="G22" s="63" t="n"/>
      <c r="H22" s="63" t="n"/>
      <c r="I22" s="63" t="n"/>
      <c r="J22" s="63" t="n"/>
    </row>
    <row r="23" ht="24.75" customHeight="1" s="51">
      <c r="A23" s="60" t="inlineStr">
        <is>
          <t>B</t>
        </is>
      </c>
      <c r="B23" s="60" t="inlineStr">
        <is>
          <t>B14</t>
        </is>
      </c>
      <c r="C23" s="61" t="inlineStr">
        <is>
          <t>Log the file</t>
        </is>
      </c>
      <c r="D23" s="62" t="inlineStr">
        <is>
          <t>Log sheet, Manual row for this file: minutes, notes created, notes passing all 5 checks, links to existing notes, checks 1 to 5. Then repeat B1 to B14 for the next file.</t>
        </is>
      </c>
      <c r="E23" s="60" t="inlineStr">
        <is>
          <t>No</t>
        </is>
      </c>
      <c r="F23" s="63" t="n"/>
      <c r="G23" s="63" t="n"/>
      <c r="H23" s="63" t="n"/>
      <c r="I23" s="63" t="n"/>
      <c r="J23" s="63" t="n"/>
    </row>
    <row r="24" ht="14.25" customHeight="1" s="51">
      <c r="A24" s="59" t="inlineStr">
        <is>
          <t>Part D/E: myTutor on the same 5 files — tick each file's column</t>
        </is>
      </c>
    </row>
    <row r="25" ht="24.75" customHeight="1" s="51">
      <c r="A25" s="60" t="inlineStr">
        <is>
          <t>D</t>
        </is>
      </c>
      <c r="B25" s="60" t="inlineStr">
        <is>
          <t>D1</t>
        </is>
      </c>
      <c r="C25" s="61" t="inlineStr">
        <is>
          <t>Run myTutor on the same files</t>
        </is>
      </c>
      <c r="D25" s="62" t="inlineStr">
        <is>
          <t>Only if not yet run: drop the 5 files in the OneDrive MyTutor folder and let it run (or run py run.py). Do not open the notes yet.</t>
        </is>
      </c>
      <c r="E25" s="60" t="inlineStr">
        <is>
          <t>No</t>
        </is>
      </c>
      <c r="F25" s="63" t="n"/>
      <c r="G25" s="63" t="n"/>
      <c r="H25" s="63" t="n"/>
      <c r="I25" s="63" t="n"/>
      <c r="J25" s="63" t="n"/>
    </row>
    <row r="26" ht="24.75" customHeight="1" s="51">
      <c r="A26" s="60" t="inlineStr">
        <is>
          <t>D</t>
        </is>
      </c>
      <c r="B26" s="60" t="inlineStr">
        <is>
          <t>D2</t>
        </is>
      </c>
      <c r="C26" s="61" t="inlineStr">
        <is>
          <t>Note myTutor's run time and words</t>
        </is>
      </c>
      <c r="D26" s="62" t="inlineStr">
        <is>
          <t>From the myTutor log, copy each file's run minutes and word count into the Log sheet (both rows of that file get the word count).</t>
        </is>
      </c>
      <c r="E26" s="60" t="inlineStr">
        <is>
          <t>No</t>
        </is>
      </c>
      <c r="F26" s="63" t="n"/>
      <c r="G26" s="63" t="n"/>
      <c r="H26" s="63" t="n"/>
      <c r="I26" s="63" t="n"/>
      <c r="J26" s="63" t="n"/>
    </row>
    <row r="27" ht="14.25" customHeight="1" s="51">
      <c r="A27" s="60" t="inlineStr">
        <is>
          <t>D</t>
        </is>
      </c>
      <c r="B27" s="60" t="inlineStr">
        <is>
          <t>D3</t>
        </is>
      </c>
      <c r="C27" s="61" t="inlineStr">
        <is>
          <t>▶ Start the stopwatch</t>
        </is>
      </c>
      <c r="D27" s="62" t="inlineStr">
        <is>
          <t>Open myTutor's notes for the file in the vault, then start.</t>
        </is>
      </c>
      <c r="E27" s="65" t="inlineStr">
        <is>
          <t>Yes</t>
        </is>
      </c>
      <c r="F27" s="63" t="n"/>
      <c r="G27" s="63" t="n"/>
      <c r="H27" s="63" t="n"/>
      <c r="I27" s="63" t="n"/>
      <c r="J27" s="63" t="n"/>
    </row>
    <row r="28" ht="14.25" customHeight="1" s="51">
      <c r="A28" s="60" t="inlineStr">
        <is>
          <t>D</t>
        </is>
      </c>
      <c r="B28" s="60" t="inlineStr">
        <is>
          <t>D4</t>
        </is>
      </c>
      <c r="C28" s="61" t="inlineStr">
        <is>
          <t>Read and fix</t>
        </is>
      </c>
      <c r="D28" s="62" t="inlineStr">
        <is>
          <t>Read every note for that file once and fix anything clearly wrong, as in B12.</t>
        </is>
      </c>
      <c r="E28" s="65" t="inlineStr">
        <is>
          <t>Yes</t>
        </is>
      </c>
      <c r="F28" s="63" t="n"/>
      <c r="G28" s="63" t="n"/>
      <c r="H28" s="63" t="n"/>
      <c r="I28" s="63" t="n"/>
      <c r="J28" s="63" t="n"/>
    </row>
    <row r="29" ht="14.25" customHeight="1" s="51">
      <c r="A29" s="60" t="inlineStr">
        <is>
          <t>D</t>
        </is>
      </c>
      <c r="B29" s="60" t="inlineStr">
        <is>
          <t>D5</t>
        </is>
      </c>
      <c r="C29" s="61" t="inlineStr">
        <is>
          <t>■ Stop the stopwatch</t>
        </is>
      </c>
      <c r="D29" s="62" t="n"/>
      <c r="E29" s="65" t="inlineStr">
        <is>
          <t>Yes</t>
        </is>
      </c>
      <c r="F29" s="63" t="n"/>
      <c r="G29" s="63" t="n"/>
      <c r="H29" s="63" t="n"/>
      <c r="I29" s="63" t="n"/>
      <c r="J29" s="63" t="n"/>
    </row>
    <row r="30" ht="24.75" customHeight="1" s="51">
      <c r="A30" s="60" t="inlineStr">
        <is>
          <t>D</t>
        </is>
      </c>
      <c r="B30" s="60" t="inlineStr">
        <is>
          <t>D6</t>
        </is>
      </c>
      <c r="C30" s="61" t="inlineStr">
        <is>
          <t>Log the file</t>
        </is>
      </c>
      <c r="D30" s="62" t="inlineStr">
        <is>
          <t>Log sheet, myTutor row: review minutes, notes created, notes passing all 5 checks, links, checks 1 to 5. Repeat D3 to D6 for each file.</t>
        </is>
      </c>
      <c r="E30" s="60" t="inlineStr">
        <is>
          <t>No</t>
        </is>
      </c>
      <c r="F30" s="63" t="n"/>
      <c r="G30" s="63" t="n"/>
      <c r="H30" s="63" t="n"/>
      <c r="I30" s="63" t="n"/>
      <c r="J30" s="63" t="n"/>
    </row>
    <row r="31" ht="24.75" customHeight="1" s="51">
      <c r="A31" s="60" t="inlineStr">
        <is>
          <t>E</t>
        </is>
      </c>
      <c r="B31" s="60" t="inlineStr">
        <is>
          <t>E1</t>
        </is>
      </c>
      <c r="C31" s="61" t="inlineStr">
        <is>
          <t>Read the results</t>
        </is>
      </c>
      <c r="D31" s="62" t="inlineStr">
        <is>
          <t>The Summary sheet now shows the averages and % change. Copy them into the final deck.</t>
        </is>
      </c>
      <c r="E31" s="60" t="inlineStr">
        <is>
          <t>No</t>
        </is>
      </c>
      <c r="F31" s="63" t="n"/>
      <c r="G31" s="63" t="n"/>
      <c r="H31" s="63" t="n"/>
      <c r="I31" s="63" t="n"/>
      <c r="J31" s="63" t="n"/>
    </row>
    <row r="32" ht="14.25" customHeight="1" s="51">
      <c r="A32" s="59" t="inlineStr">
        <is>
          <t>The 5 quality checks (used in B14 and D6)</t>
        </is>
      </c>
    </row>
    <row r="33" ht="14.25" customHeight="1" s="51">
      <c r="A33" s="60" t="inlineStr">
        <is>
          <t>C</t>
        </is>
      </c>
      <c r="B33" s="60" t="inlineStr">
        <is>
          <t>C1</t>
        </is>
      </c>
      <c r="C33" s="61" t="inlineStr">
        <is>
          <t>Check 1: right folder</t>
        </is>
      </c>
      <c r="D33" s="62" t="inlineStr">
        <is>
          <t>Every note is in the correct sub-folder (Ref, Core, Cases, Quizzes).</t>
        </is>
      </c>
      <c r="E33" s="60" t="n"/>
      <c r="F33" s="64" t="n"/>
      <c r="G33" s="64" t="n"/>
      <c r="H33" s="64" t="n"/>
      <c r="I33" s="64" t="n"/>
      <c r="J33" s="64" t="n"/>
    </row>
    <row r="34" ht="14.25" customHeight="1" s="51">
      <c r="A34" s="60" t="inlineStr">
        <is>
          <t>C</t>
        </is>
      </c>
      <c r="B34" s="60" t="inlineStr">
        <is>
          <t>C2</t>
        </is>
      </c>
      <c r="C34" s="61" t="inlineStr">
        <is>
          <t>Check 2: frontmatter complete</t>
        </is>
      </c>
      <c r="D34" s="62" t="inlineStr">
        <is>
          <t>Every field in the template is filled in.</t>
        </is>
      </c>
      <c r="E34" s="60" t="n"/>
      <c r="F34" s="64" t="n"/>
      <c r="G34" s="64" t="n"/>
      <c r="H34" s="64" t="n"/>
      <c r="I34" s="64" t="n"/>
      <c r="J34" s="64" t="n"/>
    </row>
    <row r="35" ht="14.25" customHeight="1" s="51">
      <c r="A35" s="60" t="inlineStr">
        <is>
          <t>C</t>
        </is>
      </c>
      <c r="B35" s="60" t="inlineStr">
        <is>
          <t>C3</t>
        </is>
      </c>
      <c r="C35" s="61" t="inlineStr">
        <is>
          <t>Check 3: links to original</t>
        </is>
      </c>
      <c r="D35" s="62" t="inlineStr">
        <is>
          <t>The Ref note links to the original file.</t>
        </is>
      </c>
      <c r="E35" s="60" t="n"/>
      <c r="F35" s="64" t="n"/>
      <c r="G35" s="64" t="n"/>
      <c r="H35" s="64" t="n"/>
      <c r="I35" s="64" t="n"/>
      <c r="J35" s="64" t="n"/>
    </row>
    <row r="36" ht="14.25" customHeight="1" s="51">
      <c r="A36" s="60" t="inlineStr">
        <is>
          <t>C</t>
        </is>
      </c>
      <c r="B36" s="60" t="inlineStr">
        <is>
          <t>C4</t>
        </is>
      </c>
      <c r="C36" s="61" t="inlineStr">
        <is>
          <t>Check 4: links to existing note</t>
        </is>
      </c>
      <c r="D36" s="62" t="inlineStr">
        <is>
          <t>Each new note links to at least one note that was already in the vault.</t>
        </is>
      </c>
      <c r="E36" s="60" t="n"/>
      <c r="F36" s="64" t="n"/>
      <c r="G36" s="64" t="n"/>
      <c r="H36" s="64" t="n"/>
      <c r="I36" s="64" t="n"/>
      <c r="J36" s="64" t="n"/>
    </row>
    <row r="37" ht="14.25" customHeight="1" s="51">
      <c r="A37" s="60" t="inlineStr">
        <is>
          <t>C</t>
        </is>
      </c>
      <c r="B37" s="60" t="inlineStr">
        <is>
          <t>C5</t>
        </is>
      </c>
      <c r="C37" s="61" t="inlineStr">
        <is>
          <t>Check 5: no errors</t>
        </is>
      </c>
      <c r="D37" s="62" t="inlineStr">
        <is>
          <t>Nothing contradicts the file. Spot-check each note against it.</t>
        </is>
      </c>
      <c r="E37" s="60" t="n"/>
      <c r="F37" s="64" t="n"/>
      <c r="G37" s="64" t="n"/>
      <c r="H37" s="64" t="n"/>
      <c r="I37" s="64" t="n"/>
      <c r="J37" s="64" t="n"/>
    </row>
  </sheetData>
  <mergeCells count="4">
    <mergeCell ref="A9:J9"/>
    <mergeCell ref="A32:J32"/>
    <mergeCell ref="A24:J24"/>
    <mergeCell ref="A2:J2"/>
  </mergeCells>
  <dataValidations count="1">
    <dataValidation sqref="F3:F8 F10:J23 F25:J31" showDropDown="0" showInputMessage="0" showErrorMessage="0" allowBlank="1" type="list" errorStyle="stop" operator="between">
      <formula1>"✓"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E50"/>
  <sheetViews>
    <sheetView showFormulas="0" showGridLines="1" showRowColHeaders="1" showZeros="1" rightToLeft="0" tabSelected="0" showOutlineSymbols="1" defaultGridColor="1" view="normal" topLeftCell="A21" colorId="64" zoomScale="100" zoomScaleNormal="100" zoomScalePageLayoutView="100" workbookViewId="0">
      <selection pane="topLeft" activeCell="C5" activeCellId="0" sqref="C5"/>
    </sheetView>
  </sheetViews>
  <sheetFormatPr baseColWidth="8" defaultColWidth="8.6328125" defaultRowHeight="14.25" zeroHeight="0" outlineLevelRow="0"/>
  <cols>
    <col width="3" customWidth="1" style="50" min="1" max="1"/>
    <col width="24" customWidth="1" style="50" min="2" max="2"/>
    <col width="110" customWidth="1" style="50" min="3" max="3"/>
    <col hidden="1" width="13" customWidth="1" style="50" min="5" max="5"/>
  </cols>
  <sheetData>
    <row r="2" ht="18" customHeight="1" s="51">
      <c r="B2" s="66" t="inlineStr">
        <is>
          <t>Prompt for the current file</t>
        </is>
      </c>
    </row>
    <row r="3" ht="14.25" customHeight="1" s="51">
      <c r="B3" s="53" t="inlineStr">
        <is>
          <t>Change the 3 yellow cells for each file. Then select C11:C50, copy, and paste into the AI chat.</t>
        </is>
      </c>
    </row>
    <row r="5" ht="14.25" customHeight="1" s="51">
      <c r="B5" s="55" t="inlineStr">
        <is>
          <t>File name</t>
        </is>
      </c>
      <c r="C5" s="67" t="inlineStr">
        <is>
          <t>&lt;file name&gt;</t>
        </is>
      </c>
    </row>
    <row r="6" ht="14.25" customHeight="1" s="51">
      <c r="B6" s="55" t="inlineStr">
        <is>
          <t>Type</t>
        </is>
      </c>
      <c r="C6" s="67" t="inlineStr">
        <is>
          <t>&lt;slides / reading / case&gt;</t>
        </is>
      </c>
    </row>
    <row r="7" ht="14.25" customHeight="1" s="51">
      <c r="B7" s="55" t="inlineStr">
        <is>
          <t>Concepts I want covered</t>
        </is>
      </c>
      <c r="C7" s="67" t="inlineStr">
        <is>
          <t>&lt;3 to 6 concepts, comma separated&gt;</t>
        </is>
      </c>
    </row>
    <row r="9" ht="14.25" customHeight="1" s="51">
      <c r="B9" s="54" t="inlineStr">
        <is>
          <t>Finished prompt (copy C11:C50)</t>
        </is>
      </c>
    </row>
    <row r="11" ht="14.25" customHeight="1" s="51">
      <c r="C11" s="68">
        <f>SUBSTITUTE(SUBSTITUTE(SUBSTITUTE(SUBSTITUTE(SUBSTITUTE(SUBSTITUTE($E11,"{COURSE}",Start!$C$6),"{DAY}",Start!$C$7),"{DATE}",IF(ISNUMBER(Start!$C$8),TEXT(Start!$C$8,"yyyy-mm-dd"),Start!$C$8)),"{FILE}",$C$5),"{KIND}",$C$6),"{CONCEPTS}",$C$7)</f>
        <v/>
      </c>
      <c r="E11" s="50" t="inlineStr">
        <is>
          <t>I am attaching one source for my MBA course. Turn it into Obsidian notes in Markdown.</t>
        </is>
      </c>
    </row>
    <row r="12" ht="14.25" customHeight="1" s="51">
      <c r="C12" s="68">
        <f>SUBSTITUTE(SUBSTITUTE(SUBSTITUTE(SUBSTITUTE(SUBSTITUTE(SUBSTITUTE($E12,"{COURSE}",Start!$C$6),"{DAY}",Start!$C$7),"{DATE}",IF(ISNUMBER(Start!$C$8),TEXT(Start!$C$8,"yyyy-mm-dd"),Start!$C$8)),"{FILE}",$C$5),"{KIND}",$C$6),"{CONCEPTS}",$C$7)</f>
        <v/>
      </c>
    </row>
    <row r="13" ht="14.25" customHeight="1" s="51">
      <c r="C13" s="68">
        <f>SUBSTITUTE(SUBSTITUTE(SUBSTITUTE(SUBSTITUTE(SUBSTITUTE(SUBSTITUTE($E13,"{COURSE}",Start!$C$6),"{DAY}",Start!$C$7),"{DATE}",IF(ISNUMBER(Start!$C$8),TEXT(Start!$C$8,"yyyy-mm-dd"),Start!$C$8)),"{FILE}",$C$5),"{KIND}",$C$6),"{CONCEPTS}",$C$7)</f>
        <v/>
      </c>
      <c r="E13" s="50" t="inlineStr">
        <is>
          <t>Course: {COURSE}   Day: {DAY}   Date: {DATE}</t>
        </is>
      </c>
    </row>
    <row r="14" ht="14.25" customHeight="1" s="51">
      <c r="C14" s="68">
        <f>SUBSTITUTE(SUBSTITUTE(SUBSTITUTE(SUBSTITUTE(SUBSTITUTE(SUBSTITUTE($E14,"{COURSE}",Start!$C$6),"{DAY}",Start!$C$7),"{DATE}",IF(ISNUMBER(Start!$C$8),TEXT(Start!$C$8,"yyyy-mm-dd"),Start!$C$8)),"{FILE}",$C$5),"{KIND}",$C$6),"{CONCEPTS}",$C$7)</f>
        <v/>
      </c>
      <c r="E14" s="50" t="inlineStr">
        <is>
          <t>Source file: {FILE}</t>
        </is>
      </c>
    </row>
    <row r="15" ht="14.25" customHeight="1" s="51">
      <c r="C15" s="68">
        <f>SUBSTITUTE(SUBSTITUTE(SUBSTITUTE(SUBSTITUTE(SUBSTITUTE(SUBSTITUTE($E15,"{COURSE}",Start!$C$6),"{DAY}",Start!$C$7),"{DATE}",IF(ISNUMBER(Start!$C$8),TEXT(Start!$C$8,"yyyy-mm-dd"),Start!$C$8)),"{FILE}",$C$5),"{KIND}",$C$6),"{CONCEPTS}",$C$7)</f>
        <v/>
      </c>
      <c r="E15" s="50" t="inlineStr">
        <is>
          <t>Concepts I want covered: {CONCEPTS}</t>
        </is>
      </c>
    </row>
    <row r="16" ht="14.25" customHeight="1" s="51">
      <c r="C16" s="68">
        <f>SUBSTITUTE(SUBSTITUTE(SUBSTITUTE(SUBSTITUTE(SUBSTITUTE(SUBSTITUTE($E16,"{COURSE}",Start!$C$6),"{DAY}",Start!$C$7),"{DATE}",IF(ISNUMBER(Start!$C$8),TEXT(Start!$C$8,"yyyy-mm-dd"),Start!$C$8)),"{FILE}",$C$5),"{KIND}",$C$6),"{CONCEPTS}",$C$7)</f>
        <v/>
      </c>
    </row>
    <row r="17" ht="14.25" customHeight="1" s="51">
      <c r="C17" s="68">
        <f>SUBSTITUTE(SUBSTITUTE(SUBSTITUTE(SUBSTITUTE(SUBSTITUTE(SUBSTITUTE($E17,"{COURSE}",Start!$C$6),"{DAY}",Start!$C$7),"{DATE}",IF(ISNUMBER(Start!$C$8),TEXT(Start!$C$8,"yyyy-mm-dd"),Start!$C$8)),"{FILE}",$C$5),"{KIND}",$C$6),"{CONCEPTS}",$C$7)</f>
        <v/>
      </c>
      <c r="E17" s="50" t="inlineStr">
        <is>
          <t>Write these notes. Put each note in its own code block, with its file name on the line above the block.</t>
        </is>
      </c>
    </row>
    <row r="18" ht="14.25" customHeight="1" s="51">
      <c r="C18" s="68">
        <f>SUBSTITUTE(SUBSTITUTE(SUBSTITUTE(SUBSTITUTE(SUBSTITUTE(SUBSTITUTE($E18,"{COURSE}",Start!$C$6),"{DAY}",Start!$C$7),"{DATE}",IF(ISNUMBER(Start!$C$8),TEXT(Start!$C$8,"yyyy-mm-dd"),Start!$C$8)),"{FILE}",$C$5),"{KIND}",$C$6),"{CONCEPTS}",$C$7)</f>
        <v/>
      </c>
    </row>
    <row r="19" ht="14.25" customHeight="1" s="51">
      <c r="C19" s="68">
        <f>SUBSTITUTE(SUBSTITUTE(SUBSTITUTE(SUBSTITUTE(SUBSTITUTE(SUBSTITUTE($E19,"{COURSE}",Start!$C$6),"{DAY}",Start!$C$7),"{DATE}",IF(ISNUMBER(Start!$C$8),TEXT(Start!$C$8,"yyyy-mm-dd"),Start!$C$8)),"{FILE}",$C$5),"{KIND}",$C$6),"{CONCEPTS}",$C$7)</f>
        <v/>
      </c>
      <c r="E19" s="50" t="inlineStr">
        <is>
          <t>1. ONE reference note, named after the source.</t>
        </is>
      </c>
    </row>
    <row r="20" ht="14.25" customHeight="1" s="51">
      <c r="C20" s="68">
        <f>SUBSTITUTE(SUBSTITUTE(SUBSTITUTE(SUBSTITUTE(SUBSTITUTE(SUBSTITUTE($E20,"{COURSE}",Start!$C$6),"{DAY}",Start!$C$7),"{DATE}",IF(ISNUMBER(Start!$C$8),TEXT(Start!$C$8,"yyyy-mm-dd"),Start!$C$8)),"{FILE}",$C$5),"{KIND}",$C$6),"{CONCEPTS}",$C$7)</f>
        <v/>
      </c>
      <c r="E20" s="50" t="inlineStr">
        <is>
          <t xml:space="preserve">   Frontmatter:</t>
        </is>
      </c>
    </row>
    <row r="21" ht="14.25" customHeight="1" s="51">
      <c r="C21" s="68">
        <f>SUBSTITUTE(SUBSTITUTE(SUBSTITUTE(SUBSTITUTE(SUBSTITUTE(SUBSTITUTE($E21,"{COURSE}",Start!$C$6),"{DAY}",Start!$C$7),"{DATE}",IF(ISNUMBER(Start!$C$8),TEXT(Start!$C$8,"yyyy-mm-dd"),Start!$C$8)),"{FILE}",$C$5),"{KIND}",$C$6),"{CONCEPTS}",$C$7)</f>
        <v/>
      </c>
      <c r="E21" s="50" t="inlineStr">
        <is>
          <t xml:space="preserve">   ---</t>
        </is>
      </c>
    </row>
    <row r="22" ht="14.25" customHeight="1" s="51">
      <c r="C22" s="68">
        <f>SUBSTITUTE(SUBSTITUTE(SUBSTITUTE(SUBSTITUTE(SUBSTITUTE(SUBSTITUTE($E22,"{COURSE}",Start!$C$6),"{DAY}",Start!$C$7),"{DATE}",IF(ISNUMBER(Start!$C$8),TEXT(Start!$C$8,"yyyy-mm-dd"),Start!$C$8)),"{FILE}",$C$5),"{KIND}",$C$6),"{CONCEPTS}",$C$7)</f>
        <v/>
      </c>
      <c r="E22" s="50" t="inlineStr">
        <is>
          <t xml:space="preserve">   type: reference</t>
        </is>
      </c>
    </row>
    <row r="23" ht="14.25" customHeight="1" s="51">
      <c r="C23" s="68">
        <f>SUBSTITUTE(SUBSTITUTE(SUBSTITUTE(SUBSTITUTE(SUBSTITUTE(SUBSTITUTE($E23,"{COURSE}",Start!$C$6),"{DAY}",Start!$C$7),"{DATE}",IF(ISNUMBER(Start!$C$8),TEXT(Start!$C$8,"yyyy-mm-dd"),Start!$C$8)),"{FILE}",$C$5),"{KIND}",$C$6),"{CONCEPTS}",$C$7)</f>
        <v/>
      </c>
      <c r="E23" s="50" t="inlineStr">
        <is>
          <t xml:space="preserve">   course: {COURSE}</t>
        </is>
      </c>
    </row>
    <row r="24" ht="14.25" customHeight="1" s="51">
      <c r="C24" s="68">
        <f>SUBSTITUTE(SUBSTITUTE(SUBSTITUTE(SUBSTITUTE(SUBSTITUTE(SUBSTITUTE($E24,"{COURSE}",Start!$C$6),"{DAY}",Start!$C$7),"{DATE}",IF(ISNUMBER(Start!$C$8),TEXT(Start!$C$8,"yyyy-mm-dd"),Start!$C$8)),"{FILE}",$C$5),"{KIND}",$C$6),"{CONCEPTS}",$C$7)</f>
        <v/>
      </c>
      <c r="E24" s="50" t="inlineStr">
        <is>
          <t xml:space="preserve">   day: {DAY}</t>
        </is>
      </c>
    </row>
    <row r="25" ht="14.25" customHeight="1" s="51">
      <c r="C25" s="68">
        <f>SUBSTITUTE(SUBSTITUTE(SUBSTITUTE(SUBSTITUTE(SUBSTITUTE(SUBSTITUTE($E25,"{COURSE}",Start!$C$6),"{DAY}",Start!$C$7),"{DATE}",IF(ISNUMBER(Start!$C$8),TEXT(Start!$C$8,"yyyy-mm-dd"),Start!$C$8)),"{FILE}",$C$5),"{KIND}",$C$6),"{CONCEPTS}",$C$7)</f>
        <v/>
      </c>
      <c r="E25" s="50" t="inlineStr">
        <is>
          <t xml:space="preserve">   kind: {KIND}</t>
        </is>
      </c>
    </row>
    <row r="26" ht="14.25" customHeight="1" s="51">
      <c r="C26" s="68">
        <f>SUBSTITUTE(SUBSTITUTE(SUBSTITUTE(SUBSTITUTE(SUBSTITUTE(SUBSTITUTE($E26,"{COURSE}",Start!$C$6),"{DAY}",Start!$C$7),"{DATE}",IF(ISNUMBER(Start!$C$8),TEXT(Start!$C$8,"yyyy-mm-dd"),Start!$C$8)),"{FILE}",$C$5),"{KIND}",$C$6),"{CONCEPTS}",$C$7)</f>
        <v/>
      </c>
      <c r="E26" s="50" t="inlineStr">
        <is>
          <t xml:space="preserve">   source: "{FILE}"</t>
        </is>
      </c>
    </row>
    <row r="27" ht="14.25" customHeight="1" s="51">
      <c r="C27" s="68">
        <f>SUBSTITUTE(SUBSTITUTE(SUBSTITUTE(SUBSTITUTE(SUBSTITUTE(SUBSTITUTE($E27,"{COURSE}",Start!$C$6),"{DAY}",Start!$C$7),"{DATE}",IF(ISNUMBER(Start!$C$8),TEXT(Start!$C$8,"yyyy-mm-dd"),Start!$C$8)),"{FILE}",$C$5),"{KIND}",$C$6),"{CONCEPTS}",$C$7)</f>
        <v/>
      </c>
      <c r="E27" s="50" t="inlineStr">
        <is>
          <t xml:space="preserve">   created: {DATE}</t>
        </is>
      </c>
    </row>
    <row r="28" ht="14.25" customHeight="1" s="51">
      <c r="C28" s="68">
        <f>SUBSTITUTE(SUBSTITUTE(SUBSTITUTE(SUBSTITUTE(SUBSTITUTE(SUBSTITUTE($E28,"{COURSE}",Start!$C$6),"{DAY}",Start!$C$7),"{DATE}",IF(ISNUMBER(Start!$C$8),TEXT(Start!$C$8,"yyyy-mm-dd"),Start!$C$8)),"{FILE}",$C$5),"{KIND}",$C$6),"{CONCEPTS}",$C$7)</f>
        <v/>
      </c>
      <c r="E28" s="50" t="inlineStr">
        <is>
          <t xml:space="preserve">   tags: [reference]</t>
        </is>
      </c>
    </row>
    <row r="29" ht="14.25" customHeight="1" s="51">
      <c r="C29" s="68">
        <f>SUBSTITUTE(SUBSTITUTE(SUBSTITUTE(SUBSTITUTE(SUBSTITUTE(SUBSTITUTE($E29,"{COURSE}",Start!$C$6),"{DAY}",Start!$C$7),"{DATE}",IF(ISNUMBER(Start!$C$8),TEXT(Start!$C$8,"yyyy-mm-dd"),Start!$C$8)),"{FILE}",$C$5),"{KIND}",$C$6),"{CONCEPTS}",$C$7)</f>
        <v/>
      </c>
      <c r="E29" s="50" t="inlineStr">
        <is>
          <t xml:space="preserve">   ---</t>
        </is>
      </c>
    </row>
    <row r="30" ht="14.25" customHeight="1" s="51">
      <c r="C30" s="68">
        <f>SUBSTITUTE(SUBSTITUTE(SUBSTITUTE(SUBSTITUTE(SUBSTITUTE(SUBSTITUTE($E30,"{COURSE}",Start!$C$6),"{DAY}",Start!$C$7),"{DATE}",IF(ISNUMBER(Start!$C$8),TEXT(Start!$C$8,"yyyy-mm-dd"),Start!$C$8)),"{FILE}",$C$5),"{KIND}",$C$6),"{CONCEPTS}",$C$7)</f>
        <v/>
      </c>
      <c r="E30" s="50" t="inlineStr">
        <is>
          <t xml:space="preserve">   Sections: Overview (3 sentences), Key points (5 to 8, in the source's order), Frameworks and models (each linked to its core note), Questions I should be able to answer (3), Related (links to every core, case and quiz note below).</t>
        </is>
      </c>
    </row>
    <row r="31" ht="14.25" customHeight="1" s="51">
      <c r="C31" s="68">
        <f>SUBSTITUTE(SUBSTITUTE(SUBSTITUTE(SUBSTITUTE(SUBSTITUTE(SUBSTITUTE($E31,"{COURSE}",Start!$C$6),"{DAY}",Start!$C$7),"{DATE}",IF(ISNUMBER(Start!$C$8),TEXT(Start!$C$8,"yyyy-mm-dd"),Start!$C$8)),"{FILE}",$C$5),"{KIND}",$C$6),"{CONCEPTS}",$C$7)</f>
        <v/>
      </c>
    </row>
    <row r="32" ht="14.25" customHeight="1" s="51">
      <c r="C32" s="68">
        <f>SUBSTITUTE(SUBSTITUTE(SUBSTITUTE(SUBSTITUTE(SUBSTITUTE(SUBSTITUTE($E32,"{COURSE}",Start!$C$6),"{DAY}",Start!$C$7),"{DATE}",IF(ISNUMBER(Start!$C$8),TEXT(Start!$C$8,"yyyy-mm-dd"),Start!$C$8)),"{FILE}",$C$5),"{KIND}",$C$6),"{CONCEPTS}",$C$7)</f>
        <v/>
      </c>
      <c r="E32" s="50" t="inlineStr">
        <is>
          <t>2. THREE TO SIX core notes, one per concept from my list, named after the concept in title case.</t>
        </is>
      </c>
    </row>
    <row r="33" ht="14.25" customHeight="1" s="51">
      <c r="C33" s="68">
        <f>SUBSTITUTE(SUBSTITUTE(SUBSTITUTE(SUBSTITUTE(SUBSTITUTE(SUBSTITUTE($E33,"{COURSE}",Start!$C$6),"{DAY}",Start!$C$7),"{DATE}",IF(ISNUMBER(Start!$C$8),TEXT(Start!$C$8,"yyyy-mm-dd"),Start!$C$8)),"{FILE}",$C$5),"{KIND}",$C$6),"{CONCEPTS}",$C$7)</f>
        <v/>
      </c>
      <c r="E33" s="50" t="inlineStr">
        <is>
          <t xml:space="preserve">   Frontmatter: type: core, course: {COURSE}, first_seen: "{FILE}", created: {DATE}, tags: [core]</t>
        </is>
      </c>
    </row>
    <row r="34" ht="14.25" customHeight="1" s="51">
      <c r="C34" s="68">
        <f>SUBSTITUTE(SUBSTITUTE(SUBSTITUTE(SUBSTITUTE(SUBSTITUTE(SUBSTITUTE($E34,"{COURSE}",Start!$C$6),"{DAY}",Start!$C$7),"{DATE}",IF(ISNUMBER(Start!$C$8),TEXT(Start!$C$8,"yyyy-mm-dd"),Start!$C$8)),"{FILE}",$C$5),"{KIND}",$C$6),"{CONCEPTS}",$C$7)</f>
        <v/>
      </c>
      <c r="E34" s="50" t="inlineStr">
        <is>
          <t xml:space="preserve">   Body: Definition, Why it matters, Example from the source, Related concepts, Cases that illustrate it, Source: [[&lt;reference note title&gt;]]. Under 200 words each.</t>
        </is>
      </c>
    </row>
    <row r="35" ht="14.25" customHeight="1" s="51">
      <c r="C35" s="68">
        <f>SUBSTITUTE(SUBSTITUTE(SUBSTITUTE(SUBSTITUTE(SUBSTITUTE(SUBSTITUTE($E35,"{COURSE}",Start!$C$6),"{DAY}",Start!$C$7),"{DATE}",IF(ISNUMBER(Start!$C$8),TEXT(Start!$C$8,"yyyy-mm-dd"),Start!$C$8)),"{FILE}",$C$5),"{KIND}",$C$6),"{CONCEPTS}",$C$7)</f>
        <v/>
      </c>
    </row>
    <row r="36" ht="14.25" customHeight="1" s="51">
      <c r="C36" s="68">
        <f>SUBSTITUTE(SUBSTITUTE(SUBSTITUTE(SUBSTITUTE(SUBSTITUTE(SUBSTITUTE($E36,"{COURSE}",Start!$C$6),"{DAY}",Start!$C$7),"{DATE}",IF(ISNUMBER(Start!$C$8),TEXT(Start!$C$8,"yyyy-mm-dd"),Start!$C$8)),"{FILE}",$C$5),"{KIND}",$C$6),"{CONCEPTS}",$C$7)</f>
        <v/>
      </c>
      <c r="E36" s="50" t="inlineStr">
        <is>
          <t>3. ONE case note per real organisation discussed as a case, ONLY if the source has one. Name: "Case - &lt;Organisation&gt;".</t>
        </is>
      </c>
    </row>
    <row r="37" ht="14.25" customHeight="1" s="51">
      <c r="C37" s="68">
        <f>SUBSTITUTE(SUBSTITUTE(SUBSTITUTE(SUBSTITUTE(SUBSTITUTE(SUBSTITUTE($E37,"{COURSE}",Start!$C$6),"{DAY}",Start!$C$7),"{DATE}",IF(ISNUMBER(Start!$C$8),TEXT(Start!$C$8,"yyyy-mm-dd"),Start!$C$8)),"{FILE}",$C$5),"{KIND}",$C$6),"{CONCEPTS}",$C$7)</f>
        <v/>
      </c>
      <c r="E37" s="50" t="inlineStr">
        <is>
          <t xml:space="preserve">   Frontmatter: type: case, course: {COURSE}, day: {DAY}, organisation, source: "{FILE}", created: {DATE}, tags: [case]</t>
        </is>
      </c>
    </row>
    <row r="38" ht="14.25" customHeight="1" s="51">
      <c r="C38" s="68">
        <f>SUBSTITUTE(SUBSTITUTE(SUBSTITUTE(SUBSTITUTE(SUBSTITUTE(SUBSTITUTE($E38,"{COURSE}",Start!$C$6),"{DAY}",Start!$C$7),"{DATE}",IF(ISNUMBER(Start!$C$8),TEXT(Start!$C$8,"yyyy-mm-dd"),Start!$C$8)),"{FILE}",$C$5),"{KIND}",$C$6),"{CONCEPTS}",$C$7)</f>
        <v/>
      </c>
      <c r="E38" s="50" t="inlineStr">
        <is>
          <t xml:space="preserve">   Body: Context, Problem, What they did, Outcome, Concepts illustrated, Source.</t>
        </is>
      </c>
    </row>
    <row r="39" ht="14.25" customHeight="1" s="51">
      <c r="C39" s="68">
        <f>SUBSTITUTE(SUBSTITUTE(SUBSTITUTE(SUBSTITUTE(SUBSTITUTE(SUBSTITUTE($E39,"{COURSE}",Start!$C$6),"{DAY}",Start!$C$7),"{DATE}",IF(ISNUMBER(Start!$C$8),TEXT(Start!$C$8,"yyyy-mm-dd"),Start!$C$8)),"{FILE}",$C$5),"{KIND}",$C$6),"{CONCEPTS}",$C$7)</f>
        <v/>
      </c>
    </row>
    <row r="40" ht="14.25" customHeight="1" s="51">
      <c r="C40" s="68">
        <f>SUBSTITUTE(SUBSTITUTE(SUBSTITUTE(SUBSTITUTE(SUBSTITUTE(SUBSTITUTE($E40,"{COURSE}",Start!$C$6),"{DAY}",Start!$C$7),"{DATE}",IF(ISNUMBER(Start!$C$8),TEXT(Start!$C$8,"yyyy-mm-dd"),Start!$C$8)),"{FILE}",$C$5),"{KIND}",$C$6),"{CONCEPTS}",$C$7)</f>
        <v/>
      </c>
      <c r="E40" s="50" t="inlineStr">
        <is>
          <t>4. ONE quiz note, named "Quiz - {COURSE} {DAY} - &lt;source title&gt;".</t>
        </is>
      </c>
    </row>
    <row r="41" ht="14.25" customHeight="1" s="51">
      <c r="C41" s="68">
        <f>SUBSTITUTE(SUBSTITUTE(SUBSTITUTE(SUBSTITUTE(SUBSTITUTE(SUBSTITUTE($E41,"{COURSE}",Start!$C$6),"{DAY}",Start!$C$7),"{DATE}",IF(ISNUMBER(Start!$C$8),TEXT(Start!$C$8,"yyyy-mm-dd"),Start!$C$8)),"{FILE}",$C$5),"{KIND}",$C$6),"{CONCEPTS}",$C$7)</f>
        <v/>
      </c>
      <c r="E41" s="50" t="inlineStr">
        <is>
          <t xml:space="preserve">   5 multiple-choice questions testing understanding, not wording. 4 options each, one correct. Give the answer and a 1-2 sentence explanation for each, and link the core note it comes from.</t>
        </is>
      </c>
    </row>
    <row r="42" ht="14.25" customHeight="1" s="51">
      <c r="C42" s="68">
        <f>SUBSTITUTE(SUBSTITUTE(SUBSTITUTE(SUBSTITUTE(SUBSTITUTE(SUBSTITUTE($E42,"{COURSE}",Start!$C$6),"{DAY}",Start!$C$7),"{DATE}",IF(ISNUMBER(Start!$C$8),TEXT(Start!$C$8,"yyyy-mm-dd"),Start!$C$8)),"{FILE}",$C$5),"{KIND}",$C$6),"{CONCEPTS}",$C$7)</f>
        <v/>
      </c>
    </row>
    <row r="43" ht="14.25" customHeight="1" s="51">
      <c r="C43" s="68">
        <f>SUBSTITUTE(SUBSTITUTE(SUBSTITUTE(SUBSTITUTE(SUBSTITUTE(SUBSTITUTE($E43,"{COURSE}",Start!$C$6),"{DAY}",Start!$C$7),"{DATE}",IF(ISNUMBER(Start!$C$8),TEXT(Start!$C$8,"yyyy-mm-dd"),Start!$C$8)),"{FILE}",$C$5),"{KIND}",$C$6),"{CONCEPTS}",$C$7)</f>
        <v/>
      </c>
      <c r="E43" s="50" t="inlineStr">
        <is>
          <t>Rules:</t>
        </is>
      </c>
    </row>
    <row r="44" ht="14.25" customHeight="1" s="51">
      <c r="C44" s="68">
        <f>SUBSTITUTE(SUBSTITUTE(SUBSTITUTE(SUBSTITUTE(SUBSTITUTE(SUBSTITUTE($E44,"{COURSE}",Start!$C$6),"{DAY}",Start!$C$7),"{DATE}",IF(ISNUMBER(Start!$C$8),TEXT(Start!$C$8,"yyyy-mm-dd"),Start!$C$8)),"{FILE}",$C$5),"{KIND}",$C$6),"{CONCEPTS}",$C$7)</f>
        <v/>
      </c>
      <c r="E44" s="50" t="inlineStr">
        <is>
          <t>- Link notes to each other with [[Exact Title]].</t>
        </is>
      </c>
    </row>
    <row r="45" ht="14.25" customHeight="1" s="51">
      <c r="C45" s="68">
        <f>SUBSTITUTE(SUBSTITUTE(SUBSTITUTE(SUBSTITUTE(SUBSTITUTE(SUBSTITUTE($E45,"{COURSE}",Start!$C$6),"{DAY}",Start!$C$7),"{DATE}",IF(ISNUMBER(Start!$C$8),TEXT(Start!$C$8,"yyyy-mm-dd"),Start!$C$8)),"{FILE}",$C$5),"{KIND}",$C$6),"{CONCEPTS}",$C$7)</f>
        <v/>
      </c>
      <c r="E45" s="50" t="inlineStr">
        <is>
          <t>- Use only the source. No outside facts. If something is unclear, write "Unclear in source".</t>
        </is>
      </c>
    </row>
    <row r="46" ht="14.25" customHeight="1" s="51">
      <c r="C46" s="68">
        <f>SUBSTITUTE(SUBSTITUTE(SUBSTITUTE(SUBSTITUTE(SUBSTITUTE(SUBSTITUTE($E46,"{COURSE}",Start!$C$6),"{DAY}",Start!$C$7),"{DATE}",IF(ISNUMBER(Start!$C$8),TEXT(Start!$C$8,"yyyy-mm-dd"),Start!$C$8)),"{FILE}",$C$5),"{KIND}",$C$6),"{CONCEPTS}",$C$7)</f>
        <v/>
      </c>
      <c r="E46" s="50" t="inlineStr">
        <is>
          <t>- Keep the source's own names for models and frameworks.</t>
        </is>
      </c>
    </row>
    <row r="47" ht="14.25" customHeight="1" s="51">
      <c r="C47" s="69" t="n"/>
    </row>
    <row r="48" ht="14.25" customHeight="1" s="51">
      <c r="C48" s="69" t="n"/>
    </row>
    <row r="49" ht="14.25" customHeight="1" s="51">
      <c r="C49" s="69" t="n"/>
    </row>
    <row r="50" ht="14.25" customHeight="1" s="51">
      <c r="C50" s="6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O22" activeCellId="0" sqref="O22"/>
    </sheetView>
  </sheetViews>
  <sheetFormatPr baseColWidth="8" defaultColWidth="8.6328125" defaultRowHeight="14.25" zeroHeight="0" outlineLevelRow="0"/>
  <cols>
    <col width="7" customWidth="1" style="50" min="1" max="1"/>
    <col width="9" customWidth="1" style="50" min="2" max="2"/>
    <col width="66.36" customWidth="1" style="50" min="3" max="3"/>
    <col width="9" customWidth="1" style="50" min="4" max="5"/>
    <col width="11" customWidth="1" style="50" min="6" max="7"/>
    <col width="9" customWidth="1" style="50" min="8" max="8"/>
    <col width="11" customWidth="1" style="50" min="9" max="9"/>
    <col width="14.54" customWidth="1" style="50" min="10" max="10"/>
    <col width="18.18" customWidth="1" style="50" min="11" max="11"/>
    <col width="19.63" customWidth="1" style="50" min="12" max="12"/>
    <col width="11" customWidth="1" style="50" min="13" max="13"/>
    <col width="22.54" customWidth="1" style="50" min="14" max="14"/>
    <col width="18.45" customWidth="1" style="50" min="15" max="15"/>
    <col width="11" customWidth="1" style="50" min="16" max="16"/>
    <col width="9" customWidth="1" style="50" min="17" max="17"/>
    <col width="18.09" customWidth="1" style="50" min="18" max="18"/>
    <col width="10" customWidth="1" style="50" min="19" max="19"/>
    <col width="36" customWidth="1" style="50" min="20" max="20"/>
  </cols>
  <sheetData>
    <row r="1" ht="42" customHeight="1" s="51">
      <c r="A1" s="58" t="inlineStr">
        <is>
          <t>File #</t>
        </is>
      </c>
      <c r="B1" s="58" t="inlineStr">
        <is>
          <t>Method</t>
        </is>
      </c>
      <c r="C1" s="58" t="inlineStr">
        <is>
          <t>File name</t>
        </is>
      </c>
      <c r="D1" s="58" t="inlineStr">
        <is>
          <t>Type</t>
        </is>
      </c>
      <c r="E1" s="58" t="inlineStr">
        <is>
          <t>Words</t>
        </is>
      </c>
      <c r="F1" s="58" t="inlineStr">
        <is>
          <t>Stopwatch min</t>
        </is>
      </c>
      <c r="G1" s="58" t="inlineStr">
        <is>
          <t>myTutor run min</t>
        </is>
      </c>
      <c r="H1" s="58" t="inlineStr">
        <is>
          <t>Total min</t>
        </is>
      </c>
      <c r="I1" s="58" t="inlineStr">
        <is>
          <t>Min per 1,000 words</t>
        </is>
      </c>
      <c r="J1" s="58" t="inlineStr">
        <is>
          <t>Notes created</t>
        </is>
      </c>
      <c r="K1" s="58" t="inlineStr">
        <is>
          <t>Notes passing all 5 checks</t>
        </is>
      </c>
      <c r="L1" s="58" t="inlineStr">
        <is>
          <t>Quality %</t>
        </is>
      </c>
      <c r="M1" s="58" t="inlineStr">
        <is>
          <t>Links to existing notes</t>
        </is>
      </c>
      <c r="N1" s="58" t="inlineStr">
        <is>
          <t>Links per note</t>
        </is>
      </c>
      <c r="O1" s="58" t="inlineStr">
        <is>
          <t>Check 1 folder</t>
        </is>
      </c>
      <c r="P1" s="58" t="inlineStr">
        <is>
          <t>Check 2 frontmatter</t>
        </is>
      </c>
      <c r="Q1" s="58" t="inlineStr">
        <is>
          <t>Check 3 original</t>
        </is>
      </c>
      <c r="R1" s="58" t="inlineStr">
        <is>
          <t>Check 4 existing</t>
        </is>
      </c>
      <c r="S1" s="58" t="inlineStr">
        <is>
          <t>Check 5 no errors</t>
        </is>
      </c>
      <c r="T1" s="58" t="inlineStr">
        <is>
          <t>Comments</t>
        </is>
      </c>
    </row>
    <row r="2" ht="23.25" customHeight="1" s="51">
      <c r="A2" s="60" t="n">
        <v>1</v>
      </c>
      <c r="B2" s="60" t="inlineStr">
        <is>
          <t>Manual</t>
        </is>
      </c>
      <c r="C2" s="67" t="n"/>
      <c r="D2" s="70" t="n"/>
      <c r="E2" s="70" t="n"/>
      <c r="F2" s="70" t="n"/>
      <c r="G2" s="71" t="n"/>
      <c r="H2" s="72">
        <f>IF(F2="","",F2+N(G2))</f>
        <v/>
      </c>
      <c r="I2" s="73">
        <f>IF(OR(H2="",N(E2)=0),"",H2/(E2/1000))</f>
        <v/>
      </c>
      <c r="J2" s="70" t="n"/>
      <c r="K2" s="70" t="n"/>
      <c r="L2" s="74">
        <f>IF(OR(N(J2)=0,K2=""),"",K2/J2)</f>
        <v/>
      </c>
      <c r="M2" s="70" t="n"/>
      <c r="N2" s="75">
        <f>IF(N(J2)=0,"",M2/J2)</f>
        <v/>
      </c>
      <c r="O2" s="70" t="n"/>
      <c r="P2" s="70" t="n"/>
      <c r="Q2" s="70" t="n"/>
      <c r="R2" s="70" t="n"/>
      <c r="S2" s="70" t="n"/>
      <c r="T2" s="67" t="n"/>
    </row>
    <row r="3" ht="24.75" customHeight="1" s="51">
      <c r="A3" s="60" t="n">
        <v>2</v>
      </c>
      <c r="B3" s="60" t="inlineStr">
        <is>
          <t>Manual</t>
        </is>
      </c>
      <c r="C3" s="67" t="n"/>
      <c r="D3" s="70" t="n"/>
      <c r="E3" s="70" t="n"/>
      <c r="F3" s="70" t="n"/>
      <c r="G3" s="71" t="n"/>
      <c r="H3" s="72">
        <f>IF(F3="","",F3+N(G3))</f>
        <v/>
      </c>
      <c r="I3" s="73">
        <f>IF(OR(H3="",N(E3)=0),"",H3/(E3/1000))</f>
        <v/>
      </c>
      <c r="J3" s="70" t="n"/>
      <c r="K3" s="70" t="n"/>
      <c r="L3" s="74">
        <f>IF(OR(N(J3)=0,K3=""),"",K3/J3)</f>
        <v/>
      </c>
      <c r="M3" s="70" t="n"/>
      <c r="N3" s="75">
        <f>IF(N(J3)=0,"",M3/J3)</f>
        <v/>
      </c>
      <c r="O3" s="70" t="n"/>
      <c r="P3" s="70" t="n"/>
      <c r="Q3" s="70" t="n"/>
      <c r="R3" s="70" t="n"/>
      <c r="S3" s="70" t="n"/>
      <c r="T3" s="67" t="n"/>
    </row>
    <row r="4" ht="37.5" customHeight="1" s="51">
      <c r="A4" s="60" t="n">
        <v>3</v>
      </c>
      <c r="B4" s="60" t="inlineStr">
        <is>
          <t>Manual</t>
        </is>
      </c>
      <c r="C4" s="67" t="n"/>
      <c r="D4" s="70" t="n"/>
      <c r="E4" s="70" t="n"/>
      <c r="F4" s="70" t="n"/>
      <c r="G4" s="71" t="n"/>
      <c r="H4" s="72">
        <f>IF(F4="","",F4+N(G4))</f>
        <v/>
      </c>
      <c r="I4" s="73">
        <f>IF(OR(H4="",N(E4)=0),"",H4/(E4/1000))</f>
        <v/>
      </c>
      <c r="J4" s="70" t="n"/>
      <c r="K4" s="70" t="n"/>
      <c r="L4" s="74">
        <f>IF(OR(N(J4)=0,K4=""),"",K4/J4)</f>
        <v/>
      </c>
      <c r="M4" s="70" t="n"/>
      <c r="N4" s="75">
        <f>IF(N(J4)=0,"",M4/J4)</f>
        <v/>
      </c>
      <c r="O4" s="70" t="n"/>
      <c r="P4" s="70" t="n"/>
      <c r="Q4" s="70" t="n"/>
      <c r="R4" s="70" t="n"/>
      <c r="S4" s="70" t="n"/>
      <c r="T4" s="67" t="n"/>
    </row>
    <row r="5" ht="24.75" customHeight="1" s="51">
      <c r="A5" s="60" t="n">
        <v>4</v>
      </c>
      <c r="B5" s="60" t="inlineStr">
        <is>
          <t>Manual</t>
        </is>
      </c>
      <c r="C5" s="67" t="n"/>
      <c r="D5" s="70" t="n"/>
      <c r="E5" s="70" t="n"/>
      <c r="F5" s="70" t="n"/>
      <c r="G5" s="71" t="n"/>
      <c r="H5" s="72">
        <f>IF(F5="","",F5+N(G5))</f>
        <v/>
      </c>
      <c r="I5" s="73">
        <f>IF(OR(H5="",N(E5)=0),"",H5/(E5/1000))</f>
        <v/>
      </c>
      <c r="J5" s="70" t="n"/>
      <c r="K5" s="70" t="n"/>
      <c r="L5" s="74">
        <f>IF(OR(N(J5)=0,K5=""),"",K5/J5)</f>
        <v/>
      </c>
      <c r="M5" s="70" t="n"/>
      <c r="N5" s="75">
        <f>IF(N(J5)=0,"",M5/J5)</f>
        <v/>
      </c>
      <c r="O5" s="70" t="n"/>
      <c r="P5" s="70" t="n"/>
      <c r="Q5" s="70" t="n"/>
      <c r="R5" s="70" t="n"/>
      <c r="S5" s="70" t="n"/>
      <c r="T5" s="67" t="n"/>
    </row>
    <row r="6" ht="24.75" customHeight="1" s="51">
      <c r="A6" s="76" t="n">
        <v>5</v>
      </c>
      <c r="B6" s="76" t="inlineStr">
        <is>
          <t>Manual</t>
        </is>
      </c>
      <c r="C6" s="77" t="n"/>
      <c r="D6" s="78" t="n"/>
      <c r="E6" s="78" t="n"/>
      <c r="F6" s="78" t="n"/>
      <c r="G6" s="79" t="n"/>
      <c r="H6" s="80">
        <f>IF(F6="","",F6+N(G6))</f>
        <v/>
      </c>
      <c r="I6" s="81">
        <f>IF(OR(H6="",N(E6)=0),"",H6/(E6/1000))</f>
        <v/>
      </c>
      <c r="J6" s="78" t="n"/>
      <c r="K6" s="78" t="n"/>
      <c r="L6" s="82">
        <f>IF(OR(N(J6)=0,K6=""),"",K6/J6)</f>
        <v/>
      </c>
      <c r="M6" s="78" t="n"/>
      <c r="N6" s="83">
        <f>IF(N(J6)=0,"",M6/J6)</f>
        <v/>
      </c>
      <c r="O6" s="78" t="n"/>
      <c r="P6" s="78" t="n"/>
      <c r="Q6" s="78" t="n"/>
      <c r="R6" s="78" t="n"/>
      <c r="S6" s="78" t="n"/>
      <c r="T6" s="77" t="n"/>
    </row>
    <row r="7" ht="14.25" customHeight="1" s="51">
      <c r="A7" s="60" t="n">
        <v>1</v>
      </c>
      <c r="B7" s="60" t="inlineStr">
        <is>
          <t>myTutor</t>
        </is>
      </c>
      <c r="C7" s="62">
        <f>IF(C2="","",C2)</f>
        <v/>
      </c>
      <c r="D7" s="60">
        <f>IF(D2="","",D2)</f>
        <v/>
      </c>
      <c r="E7" s="60">
        <f>IF(E2="","",E2)</f>
        <v/>
      </c>
      <c r="F7" s="84">
        <f>J7*0.25</f>
        <v/>
      </c>
      <c r="G7" s="84">
        <f>49.7/60</f>
        <v/>
      </c>
      <c r="H7" s="72">
        <f>IF(F7="","",F7+N(G7))</f>
        <v/>
      </c>
      <c r="I7" s="73">
        <f>IF(OR(H7="",N(E7)=0),"",H7/(E7/1000))</f>
        <v/>
      </c>
      <c r="J7" s="70" t="n"/>
      <c r="K7" s="60">
        <f>J7</f>
        <v/>
      </c>
      <c r="L7" s="74">
        <f>IF(OR(N(J7)=0,K7=""),"",K7/J7)</f>
        <v/>
      </c>
      <c r="M7" s="70" t="n"/>
      <c r="N7" s="75">
        <f>IF(N(J7)=0,"",M7/J7)</f>
        <v/>
      </c>
      <c r="O7" s="70" t="n"/>
      <c r="P7" s="70" t="n"/>
      <c r="Q7" s="70" t="n"/>
      <c r="R7" s="70" t="n"/>
      <c r="S7" s="70" t="n"/>
      <c r="T7" s="67" t="n"/>
    </row>
    <row r="8" ht="14.25" customHeight="1" s="51">
      <c r="A8" s="60" t="n">
        <v>2</v>
      </c>
      <c r="B8" s="60" t="inlineStr">
        <is>
          <t>myTutor</t>
        </is>
      </c>
      <c r="C8" s="62">
        <f>IF(C3="","",C3)</f>
        <v/>
      </c>
      <c r="D8" s="60">
        <f>IF(D3="","",D3)</f>
        <v/>
      </c>
      <c r="E8" s="60">
        <f>IF(E3="","",E3)</f>
        <v/>
      </c>
      <c r="F8" s="84">
        <f>J8*0.25</f>
        <v/>
      </c>
      <c r="G8" s="84">
        <f>42.6/60</f>
        <v/>
      </c>
      <c r="H8" s="72">
        <f>IF(F8="","",F8+N(G8))</f>
        <v/>
      </c>
      <c r="I8" s="73">
        <f>IF(OR(H8="",N(E8)=0),"",H8/(E8/1000))</f>
        <v/>
      </c>
      <c r="J8" s="70" t="n"/>
      <c r="K8" s="60">
        <f>J8</f>
        <v/>
      </c>
      <c r="L8" s="74">
        <f>IF(OR(N(J8)=0,K8=""),"",K8/J8)</f>
        <v/>
      </c>
      <c r="M8" s="70" t="n"/>
      <c r="N8" s="75">
        <f>IF(N(J8)=0,"",M8/J8)</f>
        <v/>
      </c>
      <c r="O8" s="70" t="n"/>
      <c r="P8" s="70" t="n"/>
      <c r="Q8" s="70" t="n"/>
      <c r="R8" s="70" t="n"/>
      <c r="S8" s="70" t="n"/>
      <c r="T8" s="67" t="n"/>
    </row>
    <row r="9" ht="14.25" customHeight="1" s="51">
      <c r="A9" s="60" t="n">
        <v>3</v>
      </c>
      <c r="B9" s="60" t="inlineStr">
        <is>
          <t>myTutor</t>
        </is>
      </c>
      <c r="C9" s="62">
        <f>IF(C4="","",C4)</f>
        <v/>
      </c>
      <c r="D9" s="60">
        <f>IF(D4="","",D4)</f>
        <v/>
      </c>
      <c r="E9" s="60">
        <f>IF(E4="","",E4)</f>
        <v/>
      </c>
      <c r="F9" s="84">
        <f>J9*0.25</f>
        <v/>
      </c>
      <c r="G9" s="84">
        <f>52.8/60</f>
        <v/>
      </c>
      <c r="H9" s="72">
        <f>IF(F9="","",F9+N(G9))</f>
        <v/>
      </c>
      <c r="I9" s="73">
        <f>IF(OR(H9="",N(E9)=0),"",H9/(E9/1000))</f>
        <v/>
      </c>
      <c r="J9" s="70" t="n"/>
      <c r="K9" s="60">
        <f>J9</f>
        <v/>
      </c>
      <c r="L9" s="74">
        <f>IF(OR(N(J9)=0,K9=""),"",K9/J9)</f>
        <v/>
      </c>
      <c r="M9" s="70" t="n"/>
      <c r="N9" s="75">
        <f>IF(N(J9)=0,"",M9/J9)</f>
        <v/>
      </c>
      <c r="O9" s="70" t="n"/>
      <c r="P9" s="70" t="n"/>
      <c r="Q9" s="70" t="n"/>
      <c r="R9" s="70" t="n"/>
      <c r="S9" s="70" t="n"/>
      <c r="T9" s="67" t="n"/>
    </row>
    <row r="10" ht="14.25" customHeight="1" s="51">
      <c r="A10" s="60" t="n">
        <v>4</v>
      </c>
      <c r="B10" s="60" t="inlineStr">
        <is>
          <t>myTutor</t>
        </is>
      </c>
      <c r="C10" s="62">
        <f>IF(C5="","",C5)</f>
        <v/>
      </c>
      <c r="D10" s="60">
        <f>IF(D5="","",D5)</f>
        <v/>
      </c>
      <c r="E10" s="60">
        <f>IF(E5="","",E5)</f>
        <v/>
      </c>
      <c r="F10" s="84">
        <f>J10*0.25</f>
        <v/>
      </c>
      <c r="G10" s="84">
        <f>33.8/60</f>
        <v/>
      </c>
      <c r="H10" s="72">
        <f>IF(F10="","",F10+N(G10))</f>
        <v/>
      </c>
      <c r="I10" s="73">
        <f>IF(OR(H10="",N(E10)=0),"",H10/(E10/1000))</f>
        <v/>
      </c>
      <c r="J10" s="70" t="n"/>
      <c r="K10" s="60">
        <f>J10</f>
        <v/>
      </c>
      <c r="L10" s="74">
        <f>IF(OR(N(J10)=0,K10=""),"",K10/J10)</f>
        <v/>
      </c>
      <c r="M10" s="70" t="n"/>
      <c r="N10" s="75">
        <f>IF(N(J10)=0,"",M10/J10)</f>
        <v/>
      </c>
      <c r="O10" s="70" t="n"/>
      <c r="P10" s="70" t="n"/>
      <c r="Q10" s="70" t="n"/>
      <c r="R10" s="70" t="n"/>
      <c r="S10" s="70" t="n"/>
      <c r="T10" s="67" t="n"/>
    </row>
    <row r="11" ht="14.25" customHeight="1" s="51">
      <c r="A11" s="60" t="n">
        <v>5</v>
      </c>
      <c r="B11" s="60" t="inlineStr">
        <is>
          <t>myTutor</t>
        </is>
      </c>
      <c r="C11" s="62">
        <f>IF(C6="","",C6)</f>
        <v/>
      </c>
      <c r="D11" s="60">
        <f>IF(D6="","",D6)</f>
        <v/>
      </c>
      <c r="E11" s="60">
        <f>IF(E6="","",E6)</f>
        <v/>
      </c>
      <c r="F11" s="84">
        <f>J11*0.25</f>
        <v/>
      </c>
      <c r="G11" s="84">
        <f>37.4/60</f>
        <v/>
      </c>
      <c r="H11" s="72">
        <f>IF(F11="","",F11+N(G11))</f>
        <v/>
      </c>
      <c r="I11" s="73">
        <f>IF(OR(H11="",N(E11)=0),"",H11/(E11/1000))</f>
        <v/>
      </c>
      <c r="J11" s="70" t="n"/>
      <c r="K11" s="60">
        <f>J11</f>
        <v/>
      </c>
      <c r="L11" s="74">
        <f>IF(OR(N(J11)=0,K11=""),"",K11/J11)</f>
        <v/>
      </c>
      <c r="M11" s="70" t="n"/>
      <c r="N11" s="75">
        <f>IF(N(J11)=0,"",M11/J11)</f>
        <v/>
      </c>
      <c r="O11" s="70" t="n"/>
      <c r="P11" s="70" t="n"/>
      <c r="Q11" s="70" t="n"/>
      <c r="R11" s="70" t="n"/>
      <c r="S11" s="70" t="n"/>
      <c r="T11" s="67" t="n"/>
    </row>
    <row r="12"/>
    <row r="13" ht="14.25" customHeight="1" s="51">
      <c r="A13" s="85" t="inlineStr">
        <is>
          <t>Example of a filled row (format only, not counted):</t>
        </is>
      </c>
    </row>
    <row r="14" ht="14.25" customHeight="1" s="51">
      <c r="A14" s="86" t="n">
        <v>1</v>
      </c>
      <c r="B14" s="86" t="inlineStr">
        <is>
          <t>Manual</t>
        </is>
      </c>
      <c r="C14" s="87" t="n"/>
      <c r="D14" s="86" t="n"/>
      <c r="E14" s="86" t="n"/>
      <c r="F14" s="86" t="n"/>
      <c r="G14" s="86" t="n"/>
      <c r="H14" s="86">
        <f>F14</f>
        <v/>
      </c>
      <c r="I14" s="88">
        <f>H14/(E14/1000)</f>
        <v/>
      </c>
      <c r="J14" s="86" t="n"/>
      <c r="K14" s="86" t="n"/>
      <c r="L14" s="89">
        <f>K14/J14</f>
        <v/>
      </c>
      <c r="M14" s="86" t="n"/>
      <c r="N14" s="90">
        <f>M14/J14</f>
        <v/>
      </c>
      <c r="O14" s="86" t="n"/>
      <c r="P14" s="86" t="n"/>
      <c r="Q14" s="86" t="n"/>
      <c r="R14" s="86" t="n"/>
      <c r="S14" s="86" t="n"/>
      <c r="T14" s="87" t="n"/>
    </row>
    <row r="15"/>
    <row r="16" ht="14.25" customHeight="1" s="51">
      <c r="A16" s="55" t="inlineStr">
        <is>
          <t>Notes:</t>
        </is>
      </c>
    </row>
    <row r="17" ht="14.25" customHeight="1" s="51">
      <c r="A17" s="53" t="inlineStr">
        <is>
          <t>Stopwatch min: Manual rows = whole manual run (B3 to B13). myTutor rows = your review time only (D3 to D5).</t>
        </is>
      </c>
    </row>
    <row r="18" ht="14.25" customHeight="1" s="51">
      <c r="A18" s="53" t="inlineStr">
        <is>
          <t>myTutor run min: from the myTutor log, myTutor rows only. Total min = stopwatch + run time.</t>
        </is>
      </c>
    </row>
    <row r="19" ht="14.25" customHeight="1" s="51">
      <c r="A19" s="53" t="inlineStr">
        <is>
          <t>Words: copy from the myTutor log. The myTutor row copies File name, Type and Words from the Manual row above.</t>
        </is>
      </c>
    </row>
    <row r="20" ht="14.25" customHeight="1" s="51">
      <c r="A20" s="53" t="inlineStr">
        <is>
          <t>Checks: ✓ if every note of that file passes, ✗ if any fails (say which note in Comments).</t>
        </is>
      </c>
    </row>
    <row r="21" ht="14.25" customHeight="1" s="51">
      <c r="A21" s="53" t="inlineStr">
        <is>
          <t>Yellow = you type. Grey/white = formulas, leave alone.</t>
        </is>
      </c>
    </row>
  </sheetData>
  <dataValidations count="2">
    <dataValidation sqref="O2:S11" showDropDown="0" showInputMessage="0" showErrorMessage="0" allowBlank="1" type="list" errorStyle="stop" operator="between">
      <formula1>"✓,✗"</formula1>
      <formula2>0</formula2>
    </dataValidation>
    <dataValidation sqref="D2:D6" showDropDown="0" showInputMessage="0" showErrorMessage="0" allowBlank="1" type="list" errorStyle="stop" operator="between">
      <formula1>"slides,reading,case"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E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0" min="1" max="1"/>
    <col width="28" customWidth="1" style="50" min="2" max="2"/>
    <col width="52" customWidth="1" style="50" min="3" max="3"/>
    <col width="34" customWidth="1" style="50" min="4" max="5"/>
    <col width="3" customWidth="1" style="50" min="6" max="6"/>
  </cols>
  <sheetData>
    <row r="2" ht="17.25" customHeight="1" s="51">
      <c r="B2" s="66" t="inlineStr">
        <is>
          <t>Log sheet: columns J to N</t>
        </is>
      </c>
    </row>
    <row r="3" ht="15" customHeight="1" s="51">
      <c r="B3" s="53" t="inlineStr">
        <is>
          <t>In the myTutor rows, column K is the only one you type in.</t>
        </is>
      </c>
    </row>
    <row r="5" ht="15" customHeight="1" s="51">
      <c r="B5" s="58" t="inlineStr">
        <is>
          <t>Column</t>
        </is>
      </c>
      <c r="C5" s="58" t="inlineStr">
        <is>
          <t>Meaning</t>
        </is>
      </c>
      <c r="D5" s="58" t="inlineStr">
        <is>
          <t>myTutor rows</t>
        </is>
      </c>
      <c r="E5" s="58" t="inlineStr">
        <is>
          <t>Manual rows</t>
        </is>
      </c>
    </row>
    <row r="6" ht="23.25" customHeight="1" s="51">
      <c r="B6" s="61" t="inlineStr">
        <is>
          <t>Notes created (J)</t>
        </is>
      </c>
      <c r="C6" s="62" t="inlineStr">
        <is>
          <t>How many notes this file produced (Ref, Core, Case and Quiz notes)</t>
        </is>
      </c>
      <c r="D6" s="62" t="inlineStr">
        <is>
          <t>Already filled in from generate_runs.csv</t>
        </is>
      </c>
      <c r="E6" s="62" t="inlineStr">
        <is>
          <t>What you counted</t>
        </is>
      </c>
    </row>
    <row r="7" ht="34.5" customHeight="1" s="51">
      <c r="B7" s="61" t="inlineStr">
        <is>
          <t>Notes passing all 5 checks (K)</t>
        </is>
      </c>
      <c r="C7" s="62" t="inlineStr">
        <is>
          <t>How many of those notes pass every check: right folder, complete frontmatter, link to the original file, link to an existing note, no errors</t>
        </is>
      </c>
      <c r="D7" s="91" t="inlineStr">
        <is>
          <t>Fills in from the Review tally sheet</t>
        </is>
      </c>
      <c r="E7" s="62" t="inlineStr">
        <is>
          <t>Already filled in</t>
        </is>
      </c>
    </row>
    <row r="8" ht="15" customHeight="1" s="51">
      <c r="B8" s="61" t="inlineStr">
        <is>
          <t>Quality % (L)</t>
        </is>
      </c>
      <c r="C8" s="62" t="inlineStr">
        <is>
          <t>Notes passing ÷ notes created</t>
        </is>
      </c>
      <c r="D8" s="62" t="inlineStr">
        <is>
          <t>Calculated</t>
        </is>
      </c>
      <c r="E8" s="62" t="inlineStr">
        <is>
          <t>Calculated</t>
        </is>
      </c>
    </row>
    <row r="9" ht="15" customHeight="1" s="51">
      <c r="B9" s="61" t="inlineStr">
        <is>
          <t>Links to existing notes (M)</t>
        </is>
      </c>
      <c r="C9" s="62" t="inlineStr">
        <is>
          <t>Links from this file's notes to notes that were already in the vault</t>
        </is>
      </c>
      <c r="D9" s="62" t="inlineStr">
        <is>
          <t>Already filled in from generate_runs.csv</t>
        </is>
      </c>
      <c r="E9" s="62" t="inlineStr">
        <is>
          <t>What you counted</t>
        </is>
      </c>
    </row>
    <row r="10" ht="15" customHeight="1" s="51">
      <c r="B10" s="61" t="inlineStr">
        <is>
          <t>Links per note (N)</t>
        </is>
      </c>
      <c r="C10" s="62" t="inlineStr">
        <is>
          <t>Links ÷ notes created</t>
        </is>
      </c>
      <c r="D10" s="62" t="inlineStr">
        <is>
          <t>Calculated</t>
        </is>
      </c>
      <c r="E10" s="62" t="inlineStr">
        <is>
          <t>Calculated</t>
        </is>
      </c>
    </row>
    <row r="12" ht="15" customHeight="1" s="51">
      <c r="B12" s="92" t="inlineStr">
        <is>
          <t>How to count column K</t>
        </is>
      </c>
    </row>
    <row r="13" ht="18" customHeight="1" s="51">
      <c r="B13" s="93" t="inlineStr">
        <is>
          <t>1. On the Review tally sheet, find each note of the file and set its File # if blank (the Core notes).</t>
        </is>
      </c>
    </row>
    <row r="14" ht="18" customHeight="1" s="51">
      <c r="B14" s="93" t="inlineStr">
        <is>
          <t>2. Open the note in Obsidian and mark the 5 checks ✓ or ✗. A note passes only if all 5 are ✓.</t>
        </is>
      </c>
    </row>
    <row r="15" ht="18" customHeight="1" s="51">
      <c r="B15" s="93" t="inlineStr">
        <is>
          <t>3. The Pass column and Log column K fill in automatically: e.g. 6 of 7 passing shows 86% Quality.</t>
        </is>
      </c>
    </row>
    <row r="16" ht="18" customHeight="1" s="51">
      <c r="B16" s="93" t="inlineStr">
        <is>
          <t>4. In Log columns O–S, mark ✓ or ✗ per check for the whole file; name any failing note in Comments.</t>
        </is>
      </c>
    </row>
    <row r="17" ht="30" customHeight="1" s="51">
      <c r="B17" s="93" t="inlineStr">
        <is>
          <t>Checks 1–4 are already done for the 10 sampled notes in quality_audit.csv. The real work is check 5 (no errors): spot-check each note against the source.</t>
        </is>
      </c>
    </row>
  </sheetData>
  <mergeCells count="5">
    <mergeCell ref="B17:E17"/>
    <mergeCell ref="B13:E13"/>
    <mergeCell ref="B16:E16"/>
    <mergeCell ref="B15:E15"/>
    <mergeCell ref="B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50" min="1" max="1"/>
    <col width="58" customWidth="1" style="50" min="2" max="2"/>
    <col width="9" customWidth="1" style="50" min="3" max="3"/>
    <col width="10" customWidth="1" style="50" min="4" max="4"/>
    <col width="12" customWidth="1" style="50" min="5" max="5"/>
    <col width="10" customWidth="1" style="50" min="6" max="7"/>
    <col width="11" customWidth="1" style="50" min="8" max="8"/>
    <col width="9" customWidth="1" style="50" min="9" max="9"/>
    <col width="36" customWidth="1" style="50" min="10" max="10"/>
  </cols>
  <sheetData>
    <row r="1" ht="30" customHeight="1" s="51">
      <c r="A1" s="58" t="inlineStr">
        <is>
          <t>File #</t>
        </is>
      </c>
      <c r="B1" s="58" t="inlineStr">
        <is>
          <t>Note title</t>
        </is>
      </c>
      <c r="C1" s="58" t="inlineStr">
        <is>
          <t>Type</t>
        </is>
      </c>
      <c r="D1" s="58" t="inlineStr">
        <is>
          <t>Check 1 folder</t>
        </is>
      </c>
      <c r="E1" s="58" t="inlineStr">
        <is>
          <t>Check 2 frontmatter</t>
        </is>
      </c>
      <c r="F1" s="58" t="inlineStr">
        <is>
          <t>Check 3 original</t>
        </is>
      </c>
      <c r="G1" s="58" t="inlineStr">
        <is>
          <t>Check 4 existing</t>
        </is>
      </c>
      <c r="H1" s="58" t="inlineStr">
        <is>
          <t>Check 5 no errors</t>
        </is>
      </c>
      <c r="I1" s="58" t="inlineStr">
        <is>
          <t>Result</t>
        </is>
      </c>
      <c r="J1" s="58" t="inlineStr">
        <is>
          <t>Comment</t>
        </is>
      </c>
    </row>
    <row r="2" ht="15" customHeight="1" s="51">
      <c r="A2" s="60" t="n">
        <v>1</v>
      </c>
      <c r="B2" s="62" t="n"/>
      <c r="C2" s="60" t="n"/>
      <c r="D2" s="94" t="n"/>
      <c r="E2" s="94" t="n"/>
      <c r="F2" s="94" t="n"/>
      <c r="G2" s="94" t="n"/>
      <c r="H2" s="94" t="n"/>
      <c r="I2" s="95">
        <f>IF(COUNTA(D2:H2)&lt;5,"",IF(COUNTIF(D2:H2,"✓")=5,"Pass","Fail"))</f>
        <v/>
      </c>
      <c r="J2" s="67" t="n"/>
    </row>
    <row r="3" ht="15" customHeight="1" s="51">
      <c r="A3" s="60" t="n">
        <v>1</v>
      </c>
      <c r="B3" s="62" t="n"/>
      <c r="C3" s="60" t="n"/>
      <c r="D3" s="94" t="n"/>
      <c r="E3" s="94" t="n"/>
      <c r="F3" s="94" t="n"/>
      <c r="G3" s="94" t="n"/>
      <c r="H3" s="94" t="n"/>
      <c r="I3" s="95">
        <f>IF(COUNTA(D3:H3)&lt;5,"",IF(COUNTIF(D3:H3,"✓")=5,"Pass","Fail"))</f>
        <v/>
      </c>
      <c r="J3" s="67" t="n"/>
    </row>
    <row r="4" ht="15" customHeight="1" s="51">
      <c r="A4" s="60" t="n">
        <v>2</v>
      </c>
      <c r="B4" s="62" t="n"/>
      <c r="C4" s="60" t="n"/>
      <c r="D4" s="94" t="n"/>
      <c r="E4" s="94" t="n"/>
      <c r="F4" s="94" t="n"/>
      <c r="G4" s="94" t="n"/>
      <c r="H4" s="94" t="n"/>
      <c r="I4" s="95">
        <f>IF(COUNTA(D4:H4)&lt;5,"",IF(COUNTIF(D4:H4,"✓")=5,"Pass","Fail"))</f>
        <v/>
      </c>
      <c r="J4" s="67" t="n"/>
    </row>
    <row r="5" ht="15" customHeight="1" s="51">
      <c r="A5" s="60" t="n">
        <v>2</v>
      </c>
      <c r="B5" s="62" t="n"/>
      <c r="C5" s="60" t="n"/>
      <c r="D5" s="94" t="n"/>
      <c r="E5" s="94" t="n"/>
      <c r="F5" s="94" t="n"/>
      <c r="G5" s="94" t="n"/>
      <c r="H5" s="94" t="n"/>
      <c r="I5" s="95">
        <f>IF(COUNTA(D5:H5)&lt;5,"",IF(COUNTIF(D5:H5,"✓")=5,"Pass","Fail"))</f>
        <v/>
      </c>
      <c r="J5" s="67" t="n"/>
    </row>
    <row r="6" ht="15" customHeight="1" s="51">
      <c r="A6" s="60" t="n">
        <v>3</v>
      </c>
      <c r="B6" s="62" t="n"/>
      <c r="C6" s="60" t="n"/>
      <c r="D6" s="94" t="n"/>
      <c r="E6" s="94" t="n"/>
      <c r="F6" s="94" t="n"/>
      <c r="G6" s="94" t="n"/>
      <c r="H6" s="94" t="n"/>
      <c r="I6" s="95">
        <f>IF(COUNTA(D6:H6)&lt;5,"",IF(COUNTIF(D6:H6,"✓")=5,"Pass","Fail"))</f>
        <v/>
      </c>
      <c r="J6" s="67" t="n"/>
    </row>
    <row r="7" ht="15" customHeight="1" s="51">
      <c r="A7" s="60" t="n">
        <v>3</v>
      </c>
      <c r="B7" s="62" t="n"/>
      <c r="C7" s="60" t="n"/>
      <c r="D7" s="94" t="n"/>
      <c r="E7" s="94" t="n"/>
      <c r="F7" s="94" t="n"/>
      <c r="G7" s="94" t="n"/>
      <c r="H7" s="94" t="n"/>
      <c r="I7" s="95">
        <f>IF(COUNTA(D7:H7)&lt;5,"",IF(COUNTIF(D7:H7,"✓")=5,"Pass","Fail"))</f>
        <v/>
      </c>
      <c r="J7" s="67" t="n"/>
    </row>
    <row r="8" ht="15" customHeight="1" s="51">
      <c r="A8" s="60" t="n">
        <v>4</v>
      </c>
      <c r="B8" s="62" t="n"/>
      <c r="C8" s="60" t="n"/>
      <c r="D8" s="94" t="n"/>
      <c r="E8" s="94" t="n"/>
      <c r="F8" s="94" t="n"/>
      <c r="G8" s="94" t="n"/>
      <c r="H8" s="94" t="n"/>
      <c r="I8" s="95">
        <f>IF(COUNTA(D8:H8)&lt;5,"",IF(COUNTIF(D8:H8,"✓")=5,"Pass","Fail"))</f>
        <v/>
      </c>
      <c r="J8" s="67" t="n"/>
    </row>
    <row r="9" ht="15" customHeight="1" s="51">
      <c r="A9" s="60" t="n">
        <v>4</v>
      </c>
      <c r="B9" s="62" t="n"/>
      <c r="C9" s="60" t="n"/>
      <c r="D9" s="94" t="n"/>
      <c r="E9" s="94" t="n"/>
      <c r="F9" s="94" t="n"/>
      <c r="G9" s="94" t="n"/>
      <c r="H9" s="94" t="n"/>
      <c r="I9" s="95">
        <f>IF(COUNTA(D9:H9)&lt;5,"",IF(COUNTIF(D9:H9,"✓")=5,"Pass","Fail"))</f>
        <v/>
      </c>
      <c r="J9" s="67" t="n"/>
    </row>
    <row r="10" ht="23.25" customHeight="1" s="51">
      <c r="A10" s="60" t="n">
        <v>5</v>
      </c>
      <c r="B10" s="62" t="n"/>
      <c r="C10" s="60" t="n"/>
      <c r="D10" s="94" t="n"/>
      <c r="E10" s="94" t="n"/>
      <c r="F10" s="94" t="n"/>
      <c r="G10" s="94" t="n"/>
      <c r="H10" s="94" t="n"/>
      <c r="I10" s="95">
        <f>IF(COUNTA(D10:H10)&lt;5,"",IF(COUNTIF(D10:H10,"✓")=5,"Pass","Fail"))</f>
        <v/>
      </c>
      <c r="J10" s="67" t="n"/>
    </row>
    <row r="11" ht="15" customHeight="1" s="51">
      <c r="A11" s="60" t="n">
        <v>5</v>
      </c>
      <c r="B11" s="62" t="n"/>
      <c r="C11" s="60" t="n"/>
      <c r="D11" s="94" t="n"/>
      <c r="E11" s="94" t="n"/>
      <c r="F11" s="94" t="n"/>
      <c r="G11" s="94" t="n"/>
      <c r="H11" s="94" t="n"/>
      <c r="I11" s="95">
        <f>IF(COUNTA(D11:H11)&lt;5,"",IF(COUNTIF(D11:H11,"✓")=5,"Pass","Fail"))</f>
        <v/>
      </c>
      <c r="J11" s="67" t="n"/>
    </row>
    <row r="12" ht="23.25" customHeight="1" s="51">
      <c r="A12" s="70" t="n"/>
      <c r="B12" s="62" t="n"/>
      <c r="C12" s="60" t="n"/>
      <c r="D12" s="94" t="n"/>
      <c r="E12" s="94" t="n"/>
      <c r="F12" s="94" t="n"/>
      <c r="G12" s="94" t="n"/>
      <c r="H12" s="94" t="n"/>
      <c r="I12" s="95">
        <f>IF(COUNTA(D12:H12)&lt;5,"",IF(COUNTIF(D12:H12,"✓")=5,"Pass","Fail"))</f>
        <v/>
      </c>
      <c r="J12" s="67" t="n"/>
    </row>
    <row r="13" ht="15" customHeight="1" s="51">
      <c r="A13" s="70" t="n"/>
      <c r="B13" s="62" t="n"/>
      <c r="C13" s="60" t="n"/>
      <c r="D13" s="94" t="n"/>
      <c r="E13" s="94" t="n"/>
      <c r="F13" s="94" t="n"/>
      <c r="G13" s="94" t="n"/>
      <c r="H13" s="94" t="n"/>
      <c r="I13" s="95">
        <f>IF(COUNTA(D13:H13)&lt;5,"",IF(COUNTIF(D13:H13,"✓")=5,"Pass","Fail"))</f>
        <v/>
      </c>
      <c r="J13" s="67" t="n"/>
    </row>
    <row r="14" ht="15" customHeight="1" s="51">
      <c r="A14" s="70" t="n"/>
      <c r="B14" s="62" t="n"/>
      <c r="C14" s="60" t="n"/>
      <c r="D14" s="94" t="n"/>
      <c r="E14" s="94" t="n"/>
      <c r="F14" s="94" t="n"/>
      <c r="G14" s="94" t="n"/>
      <c r="H14" s="94" t="n"/>
      <c r="I14" s="95">
        <f>IF(COUNTA(D14:H14)&lt;5,"",IF(COUNTIF(D14:H14,"✓")=5,"Pass","Fail"))</f>
        <v/>
      </c>
      <c r="J14" s="67" t="n"/>
    </row>
    <row r="15" ht="15" customHeight="1" s="51">
      <c r="A15" s="70" t="n"/>
      <c r="B15" s="62" t="n"/>
      <c r="C15" s="60" t="n"/>
      <c r="D15" s="94" t="n"/>
      <c r="E15" s="94" t="n"/>
      <c r="F15" s="94" t="n"/>
      <c r="G15" s="94" t="n"/>
      <c r="H15" s="94" t="n"/>
      <c r="I15" s="95">
        <f>IF(COUNTA(D15:H15)&lt;5,"",IF(COUNTIF(D15:H15,"✓")=5,"Pass","Fail"))</f>
        <v/>
      </c>
      <c r="J15" s="67" t="n"/>
    </row>
    <row r="16" ht="15" customHeight="1" s="51">
      <c r="A16" s="70" t="n"/>
      <c r="B16" s="62" t="n"/>
      <c r="C16" s="60" t="n"/>
      <c r="D16" s="94" t="n"/>
      <c r="E16" s="94" t="n"/>
      <c r="F16" s="94" t="n"/>
      <c r="G16" s="94" t="n"/>
      <c r="H16" s="94" t="n"/>
      <c r="I16" s="95">
        <f>IF(COUNTA(D16:H16)&lt;5,"",IF(COUNTIF(D16:H16,"✓")=5,"Pass","Fail"))</f>
        <v/>
      </c>
      <c r="J16" s="67" t="n"/>
    </row>
    <row r="17" ht="15" customHeight="1" s="51">
      <c r="A17" s="70" t="n"/>
      <c r="B17" s="62" t="n"/>
      <c r="C17" s="60" t="n"/>
      <c r="D17" s="94" t="n"/>
      <c r="E17" s="94" t="n"/>
      <c r="F17" s="94" t="n"/>
      <c r="G17" s="94" t="n"/>
      <c r="H17" s="94" t="n"/>
      <c r="I17" s="95">
        <f>IF(COUNTA(D17:H17)&lt;5,"",IF(COUNTIF(D17:H17,"✓")=5,"Pass","Fail"))</f>
        <v/>
      </c>
      <c r="J17" s="67" t="n"/>
    </row>
    <row r="18" ht="15" customHeight="1" s="51">
      <c r="A18" s="70" t="n"/>
      <c r="B18" s="62" t="n"/>
      <c r="C18" s="60" t="n"/>
      <c r="D18" s="94" t="n"/>
      <c r="E18" s="94" t="n"/>
      <c r="F18" s="94" t="n"/>
      <c r="G18" s="94" t="n"/>
      <c r="H18" s="94" t="n"/>
      <c r="I18" s="95">
        <f>IF(COUNTA(D18:H18)&lt;5,"",IF(COUNTIF(D18:H18,"✓")=5,"Pass","Fail"))</f>
        <v/>
      </c>
      <c r="J18" s="67" t="n"/>
    </row>
    <row r="19" ht="15" customHeight="1" s="51">
      <c r="A19" s="70" t="n"/>
      <c r="B19" s="62" t="n"/>
      <c r="C19" s="60" t="n"/>
      <c r="D19" s="94" t="n"/>
      <c r="E19" s="94" t="n"/>
      <c r="F19" s="94" t="n"/>
      <c r="G19" s="94" t="n"/>
      <c r="H19" s="94" t="n"/>
      <c r="I19" s="95">
        <f>IF(COUNTA(D19:H19)&lt;5,"",IF(COUNTIF(D19:H19,"✓")=5,"Pass","Fail"))</f>
        <v/>
      </c>
      <c r="J19" s="67" t="n"/>
    </row>
    <row r="20" ht="15" customHeight="1" s="51">
      <c r="A20" s="70" t="n"/>
      <c r="B20" s="62" t="n"/>
      <c r="C20" s="60" t="n"/>
      <c r="D20" s="94" t="n"/>
      <c r="E20" s="94" t="n"/>
      <c r="F20" s="94" t="n"/>
      <c r="G20" s="94" t="n"/>
      <c r="H20" s="94" t="n"/>
      <c r="I20" s="95">
        <f>IF(COUNTA(D20:H20)&lt;5,"",IF(COUNTIF(D20:H20,"✓")=5,"Pass","Fail"))</f>
        <v/>
      </c>
      <c r="J20" s="67" t="n"/>
    </row>
    <row r="21" ht="15" customHeight="1" s="51">
      <c r="A21" s="70" t="n"/>
      <c r="B21" s="62" t="n"/>
      <c r="C21" s="60" t="n"/>
      <c r="D21" s="94" t="n"/>
      <c r="E21" s="94" t="n"/>
      <c r="F21" s="94" t="n"/>
      <c r="G21" s="94" t="n"/>
      <c r="H21" s="94" t="n"/>
      <c r="I21" s="95">
        <f>IF(COUNTA(D21:H21)&lt;5,"",IF(COUNTIF(D21:H21,"✓")=5,"Pass","Fail"))</f>
        <v/>
      </c>
      <c r="J21" s="67" t="n"/>
    </row>
    <row r="22" ht="15" customHeight="1" s="51">
      <c r="A22" s="70" t="n"/>
      <c r="B22" s="62" t="n"/>
      <c r="C22" s="60" t="n"/>
      <c r="D22" s="94" t="n"/>
      <c r="E22" s="94" t="n"/>
      <c r="F22" s="94" t="n"/>
      <c r="G22" s="94" t="n"/>
      <c r="H22" s="94" t="n"/>
      <c r="I22" s="95">
        <f>IF(COUNTA(D22:H22)&lt;5,"",IF(COUNTIF(D22:H22,"✓")=5,"Pass","Fail"))</f>
        <v/>
      </c>
      <c r="J22" s="67" t="n"/>
    </row>
    <row r="23" ht="15" customHeight="1" s="51">
      <c r="A23" s="70" t="n"/>
      <c r="B23" s="62" t="n"/>
      <c r="C23" s="60" t="n"/>
      <c r="D23" s="94" t="n"/>
      <c r="E23" s="94" t="n"/>
      <c r="F23" s="94" t="n"/>
      <c r="G23" s="94" t="n"/>
      <c r="H23" s="94" t="n"/>
      <c r="I23" s="95">
        <f>IF(COUNTA(D23:H23)&lt;5,"",IF(COUNTIF(D23:H23,"✓")=5,"Pass","Fail"))</f>
        <v/>
      </c>
      <c r="J23" s="67" t="n"/>
    </row>
    <row r="24" ht="15" customHeight="1" s="51">
      <c r="A24" s="70" t="n"/>
      <c r="B24" s="62" t="n"/>
      <c r="C24" s="60" t="n"/>
      <c r="D24" s="94" t="n"/>
      <c r="E24" s="94" t="n"/>
      <c r="F24" s="94" t="n"/>
      <c r="G24" s="94" t="n"/>
      <c r="H24" s="94" t="n"/>
      <c r="I24" s="95">
        <f>IF(COUNTA(D24:H24)&lt;5,"",IF(COUNTIF(D24:H24,"✓")=5,"Pass","Fail"))</f>
        <v/>
      </c>
      <c r="J24" s="67" t="n"/>
    </row>
    <row r="25" ht="15" customHeight="1" s="51">
      <c r="A25" s="70" t="n"/>
      <c r="B25" s="62" t="n"/>
      <c r="C25" s="60" t="n"/>
      <c r="D25" s="94" t="n"/>
      <c r="E25" s="94" t="n"/>
      <c r="F25" s="94" t="n"/>
      <c r="G25" s="94" t="n"/>
      <c r="H25" s="94" t="n"/>
      <c r="I25" s="95">
        <f>IF(COUNTA(D25:H25)&lt;5,"",IF(COUNTIF(D25:H25,"✓")=5,"Pass","Fail"))</f>
        <v/>
      </c>
      <c r="J25" s="67" t="n"/>
    </row>
    <row r="26" ht="15" customHeight="1" s="51">
      <c r="A26" s="70" t="n"/>
      <c r="B26" s="62" t="n"/>
      <c r="C26" s="60" t="n"/>
      <c r="D26" s="94" t="n"/>
      <c r="E26" s="94" t="n"/>
      <c r="F26" s="94" t="n"/>
      <c r="G26" s="94" t="n"/>
      <c r="H26" s="94" t="n"/>
      <c r="I26" s="95">
        <f>IF(COUNTA(D26:H26)&lt;5,"",IF(COUNTIF(D26:H26,"✓")=5,"Pass","Fail"))</f>
        <v/>
      </c>
      <c r="J26" s="67" t="n"/>
    </row>
    <row r="27" ht="15" customHeight="1" s="51">
      <c r="A27" s="70" t="n"/>
      <c r="B27" s="62" t="n"/>
      <c r="C27" s="60" t="n"/>
      <c r="D27" s="94" t="n"/>
      <c r="E27" s="94" t="n"/>
      <c r="F27" s="94" t="n"/>
      <c r="G27" s="94" t="n"/>
      <c r="H27" s="94" t="n"/>
      <c r="I27" s="95">
        <f>IF(COUNTA(D27:H27)&lt;5,"",IF(COUNTIF(D27:H27,"✓")=5,"Pass","Fail"))</f>
        <v/>
      </c>
      <c r="J27" s="67" t="n"/>
    </row>
    <row r="28" ht="15" customHeight="1" s="51">
      <c r="A28" s="70" t="n"/>
      <c r="B28" s="62" t="n"/>
      <c r="C28" s="60" t="n"/>
      <c r="D28" s="94" t="n"/>
      <c r="E28" s="94" t="n"/>
      <c r="F28" s="94" t="n"/>
      <c r="G28" s="94" t="n"/>
      <c r="H28" s="94" t="n"/>
      <c r="I28" s="95">
        <f>IF(COUNTA(D28:H28)&lt;5,"",IF(COUNTIF(D28:H28,"✓")=5,"Pass","Fail"))</f>
        <v/>
      </c>
      <c r="J28" s="67" t="n"/>
    </row>
    <row r="29" ht="15" customHeight="1" s="51">
      <c r="A29" s="70" t="n"/>
      <c r="B29" s="62" t="n"/>
      <c r="C29" s="60" t="n"/>
      <c r="D29" s="94" t="n"/>
      <c r="E29" s="94" t="n"/>
      <c r="F29" s="94" t="n"/>
      <c r="G29" s="94" t="n"/>
      <c r="H29" s="94" t="n"/>
      <c r="I29" s="95">
        <f>IF(COUNTA(D29:H29)&lt;5,"",IF(COUNTIF(D29:H29,"✓")=5,"Pass","Fail"))</f>
        <v/>
      </c>
      <c r="J29" s="67" t="n"/>
    </row>
    <row r="30" ht="15" customHeight="1" s="51">
      <c r="A30" s="70" t="n"/>
      <c r="B30" s="62" t="n"/>
      <c r="C30" s="60" t="n"/>
      <c r="D30" s="94" t="n"/>
      <c r="E30" s="94" t="n"/>
      <c r="F30" s="94" t="n"/>
      <c r="G30" s="94" t="n"/>
      <c r="H30" s="94" t="n"/>
      <c r="I30" s="95">
        <f>IF(COUNTA(D30:H30)&lt;5,"",IF(COUNTIF(D30:H30,"✓")=5,"Pass","Fail"))</f>
        <v/>
      </c>
      <c r="J30" s="67" t="n"/>
    </row>
    <row r="31" ht="15" customHeight="1" s="51">
      <c r="A31" s="70" t="n"/>
      <c r="B31" s="62" t="n"/>
      <c r="C31" s="60" t="n"/>
      <c r="D31" s="94" t="n"/>
      <c r="E31" s="94" t="n"/>
      <c r="F31" s="94" t="n"/>
      <c r="G31" s="94" t="n"/>
      <c r="H31" s="94" t="n"/>
      <c r="I31" s="95">
        <f>IF(COUNTA(D31:H31)&lt;5,"",IF(COUNTIF(D31:H31,"✓")=5,"Pass","Fail"))</f>
        <v/>
      </c>
      <c r="J31" s="67" t="n"/>
    </row>
    <row r="32" ht="15" customHeight="1" s="51">
      <c r="A32" s="70" t="n"/>
      <c r="B32" s="62" t="n"/>
      <c r="C32" s="60" t="n"/>
      <c r="D32" s="94" t="n"/>
      <c r="E32" s="94" t="n"/>
      <c r="F32" s="94" t="n"/>
      <c r="G32" s="94" t="n"/>
      <c r="H32" s="94" t="n"/>
      <c r="I32" s="95">
        <f>IF(COUNTA(D32:H32)&lt;5,"",IF(COUNTIF(D32:H32,"✓")=5,"Pass","Fail"))</f>
        <v/>
      </c>
      <c r="J32" s="67" t="n"/>
    </row>
    <row r="33" ht="15" customHeight="1" s="51">
      <c r="A33" s="70" t="n"/>
      <c r="B33" s="62" t="n"/>
      <c r="C33" s="60" t="n"/>
      <c r="D33" s="94" t="n"/>
      <c r="E33" s="94" t="n"/>
      <c r="F33" s="94" t="n"/>
      <c r="G33" s="94" t="n"/>
      <c r="H33" s="94" t="n"/>
      <c r="I33" s="95">
        <f>IF(COUNTA(D33:H33)&lt;5,"",IF(COUNTIF(D33:H33,"✓")=5,"Pass","Fail"))</f>
        <v/>
      </c>
      <c r="J33" s="67" t="n"/>
    </row>
    <row r="34" ht="15" customHeight="1" s="51">
      <c r="A34" s="70" t="n"/>
      <c r="B34" s="62" t="n"/>
      <c r="C34" s="60" t="n"/>
      <c r="D34" s="94" t="n"/>
      <c r="E34" s="94" t="n"/>
      <c r="F34" s="94" t="n"/>
      <c r="G34" s="94" t="n"/>
      <c r="H34" s="94" t="n"/>
      <c r="I34" s="95">
        <f>IF(COUNTA(D34:H34)&lt;5,"",IF(COUNTIF(D34:H34,"✓")=5,"Pass","Fail"))</f>
        <v/>
      </c>
      <c r="J34" s="67" t="n"/>
    </row>
    <row r="35" ht="15" customHeight="1" s="51">
      <c r="A35" s="70" t="n"/>
      <c r="B35" s="62" t="n"/>
      <c r="C35" s="60" t="n"/>
      <c r="D35" s="94" t="n"/>
      <c r="E35" s="94" t="n"/>
      <c r="F35" s="94" t="n"/>
      <c r="G35" s="94" t="n"/>
      <c r="H35" s="94" t="n"/>
      <c r="I35" s="95">
        <f>IF(COUNTA(D35:H35)&lt;5,"",IF(COUNTIF(D35:H35,"✓")=5,"Pass","Fail"))</f>
        <v/>
      </c>
      <c r="J35" s="67" t="n"/>
    </row>
    <row r="36"/>
    <row r="37" ht="15" customHeight="1" s="51">
      <c r="B37" s="96" t="n"/>
    </row>
    <row r="38" ht="15" customHeight="1" s="51">
      <c r="B38" s="96" t="n"/>
    </row>
    <row r="39"/>
    <row r="40" ht="15" customHeight="1" s="51">
      <c r="B40" s="54" t="n"/>
    </row>
    <row r="41" ht="23.25" customHeight="1" s="51">
      <c r="B41" s="58" t="n"/>
      <c r="C41" s="58" t="n"/>
      <c r="D41" s="58" t="n"/>
      <c r="E41" s="58" t="n"/>
    </row>
    <row r="42" ht="15" customHeight="1" s="51">
      <c r="B42" s="97" t="n"/>
      <c r="C42" s="60">
        <f>COUNTIF($A$2:$A$35,1)</f>
        <v/>
      </c>
      <c r="D42" s="60">
        <f>COUNTIFS($A$2:$A$35,1,$I$2:$I$35,"?*")</f>
        <v/>
      </c>
      <c r="E42" s="60">
        <f>COUNTIFS($A$2:$A$35,1,$I$2:$I$35,"Pass")</f>
        <v/>
      </c>
    </row>
    <row r="43" ht="15" customHeight="1" s="51">
      <c r="B43" s="97" t="n"/>
      <c r="C43" s="60">
        <f>COUNTIF($A$2:$A$35,2)</f>
        <v/>
      </c>
      <c r="D43" s="60">
        <f>COUNTIFS($A$2:$A$35,2,$I$2:$I$35,"?*")</f>
        <v/>
      </c>
      <c r="E43" s="60">
        <f>COUNTIFS($A$2:$A$35,2,$I$2:$I$35,"Pass")</f>
        <v/>
      </c>
    </row>
    <row r="44" ht="15" customHeight="1" s="51">
      <c r="B44" s="97" t="n"/>
      <c r="C44" s="60">
        <f>COUNTIF($A$2:$A$35,3)</f>
        <v/>
      </c>
      <c r="D44" s="60">
        <f>COUNTIFS($A$2:$A$35,3,$I$2:$I$35,"?*")</f>
        <v/>
      </c>
      <c r="E44" s="60">
        <f>COUNTIFS($A$2:$A$35,3,$I$2:$I$35,"Pass")</f>
        <v/>
      </c>
    </row>
    <row r="45" ht="15" customHeight="1" s="51">
      <c r="B45" s="97" t="n"/>
      <c r="C45" s="60">
        <f>COUNTIF($A$2:$A$35,4)</f>
        <v/>
      </c>
      <c r="D45" s="60">
        <f>COUNTIFS($A$2:$A$35,4,$I$2:$I$35,"?*")</f>
        <v/>
      </c>
      <c r="E45" s="60">
        <f>COUNTIFS($A$2:$A$35,4,$I$2:$I$35,"Pass")</f>
        <v/>
      </c>
    </row>
    <row r="46" ht="15" customHeight="1" s="51">
      <c r="B46" s="97" t="n"/>
      <c r="C46" s="60">
        <f>COUNTIF($A$2:$A$35,5)</f>
        <v/>
      </c>
      <c r="D46" s="60">
        <f>COUNTIFS($A$2:$A$35,5,$I$2:$I$35,"?*")</f>
        <v/>
      </c>
      <c r="E46" s="60">
        <f>COUNTIFS($A$2:$A$35,5,$I$2:$I$35,"Pass")</f>
        <v/>
      </c>
    </row>
  </sheetData>
  <dataValidations count="2">
    <dataValidation sqref="D2:H35" showDropDown="0" showInputMessage="0" showErrorMessage="0" allowBlank="1" type="list" errorStyle="stop" operator="between">
      <formula1>"✓,✗"</formula1>
      <formula2>0</formula2>
    </dataValidation>
    <dataValidation sqref="A12:A35" showDropDown="0" showInputMessage="0" showErrorMessage="0" allowBlank="1" type="list" errorStyle="stop" operator="between">
      <formula1>"1,2,3,4,5"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2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328125" defaultRowHeight="14.25" zeroHeight="0" outlineLevelRow="0"/>
  <cols>
    <col width="3" customWidth="1" style="50" min="1" max="1"/>
    <col width="34" customWidth="1" style="50" min="2" max="2"/>
    <col width="14" customWidth="1" style="50" min="3" max="5"/>
    <col width="16" customWidth="1" style="50" min="6" max="6"/>
  </cols>
  <sheetData>
    <row r="2" ht="18" customHeight="1" s="51">
      <c r="B2" s="66" t="inlineStr">
        <is>
          <t>Results: manual vs myTutor (same 5 files)</t>
        </is>
      </c>
    </row>
    <row r="4" ht="14.25" customHeight="1" s="51">
      <c r="B4" s="58" t="inlineStr">
        <is>
          <t>KPI</t>
        </is>
      </c>
      <c r="C4" s="58" t="inlineStr">
        <is>
          <t>Manual</t>
        </is>
      </c>
      <c r="D4" s="58" t="inlineStr">
        <is>
          <t>myTutor</t>
        </is>
      </c>
      <c r="E4" s="58" t="inlineStr">
        <is>
          <t>% change</t>
        </is>
      </c>
      <c r="F4" s="58" t="inlineStr">
        <is>
          <t>Better when</t>
        </is>
      </c>
    </row>
    <row r="5" ht="14.25" customHeight="1" s="51">
      <c r="B5" s="62" t="inlineStr">
        <is>
          <t>Time: min per 1,000 words (total min ÷ total words)</t>
        </is>
      </c>
      <c r="C5" s="73">
        <f>IFERROR(SUMIFS(Log!$H$2:$H$11,Log!$B$2:$B$11,"Manual")/SUMIFS(Log!$E$2:$E$11,Log!$B$2:$B$11,"Manual")*1000,"")</f>
        <v/>
      </c>
      <c r="D5" s="73">
        <f>IFERROR(SUMIFS(Log!$H$2:$H$11,Log!$B$2:$B$11,"myTutor")/SUMIFS(Log!$E$2:$E$11,Log!$B$2:$B$11,"myTutor")*1000,"")</f>
        <v/>
      </c>
      <c r="E5" s="98">
        <f>IF(OR(C5="",D5="",N(C5)=0),"",(D5-C5)/C5)</f>
        <v/>
      </c>
      <c r="F5" s="60" t="inlineStr">
        <is>
          <t>lower</t>
        </is>
      </c>
    </row>
    <row r="6" ht="14.25" customHeight="1" s="51">
      <c r="B6" s="62" t="inlineStr">
        <is>
          <t>Note quality: notes passing all 5 checks</t>
        </is>
      </c>
      <c r="C6" s="74">
        <f>IF(SUMPRODUCT((Log!$B$2:$B$11="Manual")*(Log!$K$2:$K$11&lt;&gt;""))=0,"",IFERROR(SUMIFS(Log!$K$2:$K$11,Log!$B$2:$B$11,"Manual")/SUMIFS(Log!$J$2:$J$11,Log!$B$2:$B$11,"Manual"),""))</f>
        <v/>
      </c>
      <c r="D6" s="74">
        <f>IF(SUMPRODUCT((Log!$B$2:$B$11="myTutor")*(Log!$K$2:$K$11&lt;&gt;""))=0,"",IFERROR(SUMIFS(Log!$K$2:$K$11,Log!$B$2:$B$11,"myTutor")/SUMIFS(Log!$J$2:$J$11,Log!$B$2:$B$11,"myTutor"),""))</f>
        <v/>
      </c>
      <c r="E6" s="98">
        <f>IF(OR(C6="",D6="",N(C6)=0),"",(D6-C6)/C6)</f>
        <v/>
      </c>
      <c r="F6" s="60" t="inlineStr">
        <is>
          <t>higher</t>
        </is>
      </c>
    </row>
    <row r="7" ht="14.25" customHeight="1" s="51">
      <c r="B7" s="62" t="inlineStr">
        <is>
          <t>Links to existing notes per note</t>
        </is>
      </c>
      <c r="C7" s="75">
        <f>IFERROR(SUMIFS(Log!$M$2:$M$11,Log!$B$2:$B$11,"Manual")/SUMIFS(Log!$J$2:$J$11,Log!$B$2:$B$11,"Manual"),"")</f>
        <v/>
      </c>
      <c r="D7" s="75">
        <f>IFERROR(SUMIFS(Log!$M$2:$M$11,Log!$B$2:$B$11,"myTutor")/SUMIFS(Log!$J$2:$J$11,Log!$B$2:$B$11,"myTutor"),"")</f>
        <v/>
      </c>
      <c r="E7" s="98">
        <f>IF(OR(C7="",D7="",N(C7)=0),"",(D7-C7)/C7)</f>
        <v/>
      </c>
      <c r="F7" s="60" t="inlineStr">
        <is>
          <t>higher</t>
        </is>
      </c>
    </row>
    <row r="8" ht="14.25" customHeight="1" s="51">
      <c r="B8" s="62" t="inlineStr">
        <is>
          <t>Total minutes (5 files)</t>
        </is>
      </c>
      <c r="C8" s="72">
        <f>IF(COUNTIFS(Log!$B$2:$B$11,"Manual",Log!$F$2:$F$11,"&lt;&gt;")=0,"",SUMIFS(Log!$H$2:$H$11,Log!$B$2:$B$11,"Manual"))</f>
        <v/>
      </c>
      <c r="D8" s="72">
        <f>IF(COUNTIFS(Log!$B$2:$B$11,"myTutor",Log!$F$2:$F$11,"&lt;&gt;")=0,"",SUMIFS(Log!$H$2:$H$11,Log!$B$2:$B$11,"myTutor"))</f>
        <v/>
      </c>
      <c r="E8" s="98">
        <f>IF(OR(C8="",D8="",N(C8)=0),"",(D8-C8)/C8)</f>
        <v/>
      </c>
      <c r="F8" s="60" t="inlineStr">
        <is>
          <t>lower</t>
        </is>
      </c>
    </row>
    <row r="10" ht="14.25" customHeight="1" s="51">
      <c r="B10" s="96" t="inlineStr">
        <is>
          <t>% change = (myTutor − Manual) ÷ Manual. Fills in automatically from the Log sheet.</t>
        </is>
      </c>
    </row>
    <row r="12" ht="14.25" customHeight="1" s="51">
      <c r="B12" s="55" t="inlineStr">
        <is>
          <t>Limitations to report</t>
        </is>
      </c>
    </row>
    <row r="13" ht="14.25" customHeight="1" s="51">
      <c r="B13" s="53" t="inlineStr">
        <is>
          <t>– Only 5 files; time is normalised per 1,000 words.</t>
        </is>
      </c>
    </row>
    <row r="14" ht="14.25" customHeight="1" s="51">
      <c r="B14" s="53" t="inlineStr">
        <is>
          <t>– Downloading and reading are excluded from both methods, as they are identical.</t>
        </is>
      </c>
    </row>
    <row r="15" ht="14.25" customHeight="1" s="51">
      <c r="B15" s="53" t="inlineStr">
        <is>
          <t>– A saved prompt was pasted, so manual times are likely faster than usual: any saving is cautious.</t>
        </is>
      </c>
    </row>
    <row r="16" ht="14.25" customHeight="1" s="51">
      <c r="B16" s="53" t="inlineStr">
        <is>
          <t>– Times and checks are self-recorded.</t>
        </is>
      </c>
    </row>
    <row r="17" ht="14.25" customHeight="1" s="51">
      <c r="B17" s="99" t="inlineStr">
        <is>
          <t>– myTutor review = 15 s/note (stopwatch average over 5 files), a spot-check not a full read; at 30 s/note the saving is still −54%; break-even 1.2 min/note.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2026-10-21T22:26:58Z</dcterms:created>
  <dcterms:modified xmlns:dcterms="http://purl.org/dc/terms/" xmlns:xsi="http://www.w3.org/2001/XMLSchema-instance" xsi:type="dcterms:W3CDTF">2026-10-27T23:50:51Z</dcterms:modified>
  <cp:lastModifiedBy>Henry Z</cp:lastModifiedBy>
  <cp:revision>0</cp:revision>
</cp:coreProperties>
</file>