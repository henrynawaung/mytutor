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" sheetId="1" state="visible" r:id="rId3"/>
    <sheet name="Steps" sheetId="2" state="visible" r:id="rId4"/>
    <sheet name="Prompt" sheetId="3" state="visible" r:id="rId5"/>
    <sheet name="Log" sheetId="4" state="visible" r:id="rId6"/>
    <sheet name="Column guide" sheetId="5" state="visible" r:id="rId7"/>
    <sheet name="Review tally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Course code used in the notes' frontmatter</t>
        </r>
      </text>
    </comment>
    <comment ref="C7" authorId="0">
      <text>
        <r>
          <rPr>
            <sz val="10"/>
            <rFont val="Arial"/>
            <family val="2"/>
          </rPr>
          <t xml:space="preserve">Teaching day being tested</t>
        </r>
      </text>
    </comment>
    <comment ref="C8" authorId="0">
      <text>
        <r>
          <rPr>
            <sz val="10"/>
            <rFont val="Arial"/>
            <family val="2"/>
          </rPr>
          <t xml:space="preserve">Date written into the notes (YYYY-MM-DD)</t>
        </r>
      </text>
    </comment>
    <comment ref="C9" authorId="0">
      <text>
        <r>
          <rPr>
            <sz val="10"/>
            <rFont val="Arial"/>
            <family val="2"/>
          </rPr>
          <t xml:space="preserve">The chat tool used before myTutor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Exact file name, with extension. Fill before starting the stopwatch.</t>
        </r>
      </text>
    </comment>
    <comment ref="C6" authorId="0">
      <text>
        <r>
          <rPr>
            <sz val="10"/>
            <rFont val="Arial"/>
            <family val="2"/>
          </rPr>
          <t xml:space="preserve">slides, reading or case. Fill before starting the stopwatch.</t>
        </r>
      </text>
    </comment>
    <comment ref="C7" authorId="0">
      <text>
        <r>
          <rPr>
            <sz val="10"/>
            <rFont val="Arial"/>
            <family val="2"/>
          </rPr>
          <t xml:space="preserve">Fill AFTER starting the stopwatch (step B4). 3 to 6 concepts, using the file's own names; add 'Case: name' only if the file has a real case.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Word count of the Sections 3 and 5 file (counted from the PDF). Replace with the count in the job extract.json if it differs.</t>
        </r>
      </text>
    </comment>
    <comment ref="F7" authorId="0">
      <text>
        <r>
          <rPr>
            <sz val="10"/>
            <rFont val="Arial"/>
            <family val="2"/>
          </rPr>
          <t xml:space="preserve">Review = 15 s per note: stopwatch average over the 5 files; spot-check of links + one concept, same check as the manual run.</t>
        </r>
      </text>
    </comment>
    <comment ref="F8" authorId="0">
      <text>
        <r>
          <rPr>
            <sz val="10"/>
            <rFont val="Arial"/>
            <family val="2"/>
          </rPr>
          <t xml:space="preserve">Review = 15 s per note: stopwatch average over the 5 files; spot-check of links + one concept, same check as the manual run.</t>
        </r>
      </text>
    </comment>
    <comment ref="F9" authorId="0">
      <text>
        <r>
          <rPr>
            <sz val="10"/>
            <rFont val="Arial"/>
            <family val="2"/>
          </rPr>
          <t xml:space="preserve">Review = 15 s per note: stopwatch average over the 5 files; spot-check of links + one concept, same check as the manual run.</t>
        </r>
      </text>
    </comment>
    <comment ref="F10" authorId="0">
      <text>
        <r>
          <rPr>
            <sz val="10"/>
            <rFont val="Arial"/>
            <family val="2"/>
          </rPr>
          <t xml:space="preserve">Review = 15 s per note: stopwatch average over the 5 files; spot-check of links + one concept, same check as the manual run.</t>
        </r>
      </text>
    </comment>
    <comment ref="F11" authorId="0">
      <text>
        <r>
          <rPr>
            <sz val="10"/>
            <rFont val="Arial"/>
            <family val="2"/>
          </rPr>
          <t xml:space="preserve">Review = 15 s per note: stopwatch average over the 5 files; spot-check of links + one concept, same check as the manual run.</t>
        </r>
      </text>
    </comment>
    <comment ref="G7" authorId="0">
      <text>
        <r>
          <rPr>
            <sz val="10"/>
            <rFont val="Arial"/>
            <family val="2"/>
          </rPr>
          <t xml:space="preserve">generate_runs.csv, job 2026-10-22_160020: 49.7 seconds</t>
        </r>
      </text>
    </comment>
    <comment ref="G8" authorId="0">
      <text>
        <r>
          <rPr>
            <sz val="10"/>
            <rFont val="Arial"/>
            <family val="2"/>
          </rPr>
          <t xml:space="preserve">generate_runs.csv, job 2026-10-22_160020: 42.6 seconds</t>
        </r>
      </text>
    </comment>
    <comment ref="G9" authorId="0">
      <text>
        <r>
          <rPr>
            <sz val="10"/>
            <rFont val="Arial"/>
            <family val="2"/>
          </rPr>
          <t xml:space="preserve">generate_runs.csv, job 2026-10-22_160020: 52.8 seconds</t>
        </r>
      </text>
    </comment>
    <comment ref="G10" authorId="0">
      <text>
        <r>
          <rPr>
            <sz val="10"/>
            <rFont val="Arial"/>
            <family val="2"/>
          </rPr>
          <t xml:space="preserve">generate_runs.csv, job 2026-10-22_160020: 33.8 seconds</t>
        </r>
      </text>
    </comment>
    <comment ref="G11" authorId="0">
      <text>
        <r>
          <rPr>
            <sz val="10"/>
            <rFont val="Arial"/>
            <family val="2"/>
          </rPr>
          <t xml:space="preserve">generate_runs.csv, job 2026-10-22_160020: 37.4 seconds</t>
        </r>
      </text>
    </comment>
    <comment ref="K7" authorId="0">
      <text>
        <r>
          <rPr>
            <sz val="10"/>
            <rFont val="Arial"/>
            <family val="2"/>
          </rPr>
          <t xml:space="preserve">All notes passed the 5 checks in review (Henry, 22 Oct 2026).</t>
        </r>
      </text>
    </comment>
    <comment ref="K8" authorId="0">
      <text>
        <r>
          <rPr>
            <sz val="10"/>
            <rFont val="Arial"/>
            <family val="2"/>
          </rPr>
          <t xml:space="preserve">All notes passed the 5 checks in review (Henry, 22 Oct 2026).</t>
        </r>
      </text>
    </comment>
    <comment ref="K9" authorId="0">
      <text>
        <r>
          <rPr>
            <sz val="10"/>
            <rFont val="Arial"/>
            <family val="2"/>
          </rPr>
          <t xml:space="preserve">All notes passed the 5 checks in review (Henry, 22 Oct 2026).</t>
        </r>
      </text>
    </comment>
    <comment ref="K10" authorId="0">
      <text>
        <r>
          <rPr>
            <sz val="10"/>
            <rFont val="Arial"/>
            <family val="2"/>
          </rPr>
          <t xml:space="preserve">All notes passed the 5 checks in review (Henry, 22 Oct 2026).</t>
        </r>
      </text>
    </comment>
    <comment ref="K11" authorId="0">
      <text>
        <r>
          <rPr>
            <sz val="10"/>
            <rFont val="Arial"/>
            <family val="2"/>
          </rPr>
          <t xml:space="preserve">All notes passed the 5 checks in review (Henry, 22 Oct 2026).</t>
        </r>
      </text>
    </comment>
    <comment ref="M7" authorId="0">
      <text>
        <r>
          <rPr>
            <sz val="10"/>
            <rFont val="Arial"/>
            <family val="2"/>
          </rPr>
          <t xml:space="preserve">links_to_existing from generate_runs.csv</t>
        </r>
      </text>
    </comment>
    <comment ref="M8" authorId="0">
      <text>
        <r>
          <rPr>
            <sz val="10"/>
            <rFont val="Arial"/>
            <family val="2"/>
          </rPr>
          <t xml:space="preserve">links_to_existing from generate_runs.csv</t>
        </r>
      </text>
    </comment>
    <comment ref="M9" authorId="0">
      <text>
        <r>
          <rPr>
            <sz val="10"/>
            <rFont val="Arial"/>
            <family val="2"/>
          </rPr>
          <t xml:space="preserve">links_to_existing from generate_runs.csv</t>
        </r>
      </text>
    </comment>
    <comment ref="M10" authorId="0">
      <text>
        <r>
          <rPr>
            <sz val="10"/>
            <rFont val="Arial"/>
            <family val="2"/>
          </rPr>
          <t xml:space="preserve">links_to_existing from generate_runs.csv</t>
        </r>
      </text>
    </comment>
    <comment ref="M11" authorId="0">
      <text>
        <r>
          <rPr>
            <sz val="10"/>
            <rFont val="Arial"/>
            <family val="2"/>
          </rPr>
          <t xml:space="preserve">links_to_existing from generate_runs.csv</t>
        </r>
      </text>
    </comment>
  </commentList>
</comments>
</file>

<file path=xl/sharedStrings.xml><?xml version="1.0" encoding="utf-8"?>
<sst xmlns="http://schemas.openxmlformats.org/spreadsheetml/2006/main" count="589" uniqueCount="316">
  <si>
    <t xml:space="preserve">myTutor manual baseline test</t>
  </si>
  <si>
    <t xml:space="preserve">Follow the Steps sheet from top to bottom. Tick each step as you finish it.</t>
  </si>
  <si>
    <t xml:space="preserve">Test settings</t>
  </si>
  <si>
    <t xml:space="preserve">Course code</t>
  </si>
  <si>
    <t xml:space="preserve">MBAM601</t>
  </si>
  <si>
    <t xml:space="preserve">Day</t>
  </si>
  <si>
    <t xml:space="preserve">Day 9</t>
  </si>
  <si>
    <t xml:space="preserve">Date</t>
  </si>
  <si>
    <t xml:space="preserve">2026-10-20</t>
  </si>
  <si>
    <t xml:space="preserve">AI chat used</t>
  </si>
  <si>
    <t xml:space="preserve">Claude app</t>
  </si>
  <si>
    <t xml:space="preserve">Test folder in the vault</t>
  </si>
  <si>
    <t xml:space="preserve">Legend</t>
  </si>
  <si>
    <t xml:space="preserve">Yellow cell</t>
  </si>
  <si>
    <t xml:space="preserve">You type here. Everything else fills itself.</t>
  </si>
  <si>
    <t xml:space="preserve">▶ / ■</t>
  </si>
  <si>
    <t xml:space="preserve">Start / stop the stopwatch at this step</t>
  </si>
  <si>
    <t xml:space="preserve">Timed?</t>
  </si>
  <si>
    <t xml:space="preserve">Yes = inside the stopwatch time; No = before or after it</t>
  </si>
  <si>
    <t xml:space="preserve">Sheets</t>
  </si>
  <si>
    <t xml:space="preserve">Steps</t>
  </si>
  <si>
    <t xml:space="preserve">The test, step by step, with tick boxes for files 1 to 5</t>
  </si>
  <si>
    <t xml:space="preserve">Prompt</t>
  </si>
  <si>
    <t xml:space="preserve">Fill 3 yellow cells; copy the finished prompt into the AI chat</t>
  </si>
  <si>
    <t xml:space="preserve">Log</t>
  </si>
  <si>
    <t xml:space="preserve">One row per file per method; formulas do the maths</t>
  </si>
  <si>
    <t xml:space="preserve">Summary</t>
  </si>
  <si>
    <t xml:space="preserve">KPI averages and % change, filled automatically</t>
  </si>
  <si>
    <t xml:space="preserve">Part</t>
  </si>
  <si>
    <t xml:space="preserve">Step</t>
  </si>
  <si>
    <t xml:space="preserve">What to do</t>
  </si>
  <si>
    <t xml:space="preserve">How / detail</t>
  </si>
  <si>
    <t xml:space="preserve">File 1</t>
  </si>
  <si>
    <t xml:space="preserve">File 2</t>
  </si>
  <si>
    <t xml:space="preserve">File 3</t>
  </si>
  <si>
    <t xml:space="preserve">File 4</t>
  </si>
  <si>
    <t xml:space="preserve">File 5</t>
  </si>
  <si>
    <t xml:space="preserve">Part A: Set up once (not timed) — tick under File 1</t>
  </si>
  <si>
    <t xml:space="preserve">A</t>
  </si>
  <si>
    <t xml:space="preserve">A1</t>
  </si>
  <si>
    <t xml:space="preserve">Fill the test settings</t>
  </si>
  <si>
    <t xml:space="preserve">On the Start sheet, fill the yellow cells: course code, day, date.</t>
  </si>
  <si>
    <t xml:space="preserve">No</t>
  </si>
  <si>
    <t xml:space="preserve">✓</t>
  </si>
  <si>
    <t xml:space="preserve">A2</t>
  </si>
  <si>
    <t xml:space="preserve">Save the 5 test files</t>
  </si>
  <si>
    <t xml:space="preserve">Download the 5 files for the day into one local folder. Downloading is not timed (it is the same with myTutor).</t>
  </si>
  <si>
    <t xml:space="preserve">A3</t>
  </si>
  <si>
    <t xml:space="preserve">Fix the order</t>
  </si>
  <si>
    <t xml:space="preserve">Type the 5 file names into the Log sheet, File column, rows File 1 to File 5. Do not change the order later.</t>
  </si>
  <si>
    <t xml:space="preserve">A4</t>
  </si>
  <si>
    <t xml:space="preserve">Open the tools</t>
  </si>
  <si>
    <t xml:space="preserve">Open the AI chat (see Start sheet), Obsidian with your vault, and a stopwatch.</t>
  </si>
  <si>
    <t xml:space="preserve">A5</t>
  </si>
  <si>
    <t xml:space="preserve">Create the test folder</t>
  </si>
  <si>
    <t xml:space="preserve">A6</t>
  </si>
  <si>
    <t xml:space="preserve">Keep myTutor's notes closed</t>
  </si>
  <si>
    <t xml:space="preserve">Do not open myTutor's notes for these 5 files until Part D. Seeing them first would make the manual run quicker than normal.</t>
  </si>
  <si>
    <t xml:space="preserve">Part B: Manual run — repeat for each file, tick each file's column</t>
  </si>
  <si>
    <t xml:space="preserve">B</t>
  </si>
  <si>
    <t xml:space="preserve">B1</t>
  </si>
  <si>
    <t xml:space="preserve">Set up the prompt</t>
  </si>
  <si>
    <t xml:space="preserve">Prompt sheet: type the File name and Type (slides / reading / case).</t>
  </si>
  <si>
    <t xml:space="preserve">B2</t>
  </si>
  <si>
    <t xml:space="preserve">Start a new chat</t>
  </si>
  <si>
    <t xml:space="preserve">New chat in the AI app, so nothing carries over from the last file.</t>
  </si>
  <si>
    <t xml:space="preserve">B3</t>
  </si>
  <si>
    <t xml:space="preserve">▶ Start the stopwatch</t>
  </si>
  <si>
    <t xml:space="preserve">Start it as you open the file from your local folder.</t>
  </si>
  <si>
    <t xml:space="preserve">Yes</t>
  </si>
  <si>
    <t xml:space="preserve">B4</t>
  </si>
  <si>
    <t xml:space="preserve">List what to take notes on</t>
  </si>
  <si>
    <t xml:space="preserve">Skim the file only as far as needed. Type 3 to 6 key concepts (the file's own names) into the Prompt sheet's Concepts cell. Add 'Case: name' only if the file discusses a real organisation in depth. Concepts already in the vault still go on the list.</t>
  </si>
  <si>
    <t xml:space="preserve">B5</t>
  </si>
  <si>
    <t xml:space="preserve">Send the prompt</t>
  </si>
  <si>
    <t xml:space="preserve">Upload the file to the chat. On the Prompt sheet select C11:C50, copy, paste into the chat, send.</t>
  </si>
  <si>
    <t xml:space="preserve">B6</t>
  </si>
  <si>
    <t xml:space="preserve">Wait for the answer</t>
  </si>
  <si>
    <t xml:space="preserve">If the reply is cut off or wrong, ask it to continue or fix it. Keep the stopwatch running; note it in Log &gt; Comments.</t>
  </si>
  <si>
    <t xml:space="preserve">B7</t>
  </si>
  <si>
    <t xml:space="preserve">Create the Ref note</t>
  </si>
  <si>
    <t xml:space="preserve">In Baseline/Ref, name it after the file. Paste the reference note. Add a link to the original file on its first line.</t>
  </si>
  <si>
    <t xml:space="preserve">B8</t>
  </si>
  <si>
    <t xml:space="preserve">Create or link Core notes</t>
  </si>
  <si>
    <t xml:space="preserve">For each concept, first search the vault (Ctrl+O). Note already exists: link to it, do not create a new one. Otherwise create it in Baseline/Core, named in title case.</t>
  </si>
  <si>
    <t xml:space="preserve">B9</t>
  </si>
  <si>
    <t xml:space="preserve">Create the Case note</t>
  </si>
  <si>
    <t xml:space="preserve">Only if the file has a case: in Baseline/Cases, named 'Case - Organisation'.</t>
  </si>
  <si>
    <t xml:space="preserve">B10</t>
  </si>
  <si>
    <t xml:space="preserve">Create the Quiz note</t>
  </si>
  <si>
    <t xml:space="preserve">In Baseline/Quizzes, named 'Quiz - &lt;course&gt; &lt;day&gt; - &lt;file title&gt;'.</t>
  </si>
  <si>
    <t xml:space="preserve">B11</t>
  </si>
  <si>
    <t xml:space="preserve">Check the links</t>
  </si>
  <si>
    <t xml:space="preserve">Ref links to every new note; every new note links back to Ref and to at least one existing note. Tip: Backlinks &gt; Unlinked mentions &gt; Link.</t>
  </si>
  <si>
    <t xml:space="preserve">B12</t>
  </si>
  <si>
    <t xml:space="preserve">Read every note once</t>
  </si>
  <si>
    <t xml:space="preserve">Fix anything clearly wrong.</t>
  </si>
  <si>
    <t xml:space="preserve">B13</t>
  </si>
  <si>
    <t xml:space="preserve">■ Stop the stopwatch</t>
  </si>
  <si>
    <t xml:space="preserve">Pause it during the test for anything unrelated (calls, breaks). Do not reread the file for study.</t>
  </si>
  <si>
    <t xml:space="preserve">B14</t>
  </si>
  <si>
    <t xml:space="preserve">Log the file</t>
  </si>
  <si>
    <t xml:space="preserve">Log sheet, Manual row for this file: minutes, notes created, notes passing all 5 checks, links to existing notes, checks 1 to 5. Then repeat B1 to B14 for the next file.</t>
  </si>
  <si>
    <t xml:space="preserve">Part D/E: myTutor on the same 5 files — tick each file's column</t>
  </si>
  <si>
    <t xml:space="preserve">D</t>
  </si>
  <si>
    <t xml:space="preserve">D1</t>
  </si>
  <si>
    <t xml:space="preserve">Run myTutor on the same files</t>
  </si>
  <si>
    <t xml:space="preserve">Only if not yet run: drop the 5 files in the OneDrive MyTutor folder and let it run (or run py run.py). Do not open the notes yet.</t>
  </si>
  <si>
    <t xml:space="preserve">D2</t>
  </si>
  <si>
    <t xml:space="preserve">Note myTutor's run time and words</t>
  </si>
  <si>
    <t xml:space="preserve">From the myTutor log, copy each file's run minutes and word count into the Log sheet (both rows of that file get the word count).</t>
  </si>
  <si>
    <t xml:space="preserve">D3</t>
  </si>
  <si>
    <t xml:space="preserve">Open myTutor's notes for the file in the vault, then start.</t>
  </si>
  <si>
    <t xml:space="preserve">D4</t>
  </si>
  <si>
    <t xml:space="preserve">Read and fix</t>
  </si>
  <si>
    <t xml:space="preserve">Read every note for that file once and fix anything clearly wrong, as in B12.</t>
  </si>
  <si>
    <t xml:space="preserve">D5</t>
  </si>
  <si>
    <t xml:space="preserve">D6</t>
  </si>
  <si>
    <t xml:space="preserve">Log sheet, myTutor row: review minutes, notes created, notes passing all 5 checks, links, checks 1 to 5. Repeat D3 to D6 for each file.</t>
  </si>
  <si>
    <t xml:space="preserve">E</t>
  </si>
  <si>
    <t xml:space="preserve">E1</t>
  </si>
  <si>
    <t xml:space="preserve">Read the results</t>
  </si>
  <si>
    <t xml:space="preserve">The Summary sheet now shows the averages and % change. Copy them into the final deck.</t>
  </si>
  <si>
    <t xml:space="preserve">The 5 quality checks (used in B14 and D6)</t>
  </si>
  <si>
    <t xml:space="preserve">C</t>
  </si>
  <si>
    <t xml:space="preserve">C1</t>
  </si>
  <si>
    <t xml:space="preserve">Check 1: right folder</t>
  </si>
  <si>
    <t xml:space="preserve">Every note is in the correct sub-folder (Ref, Core, Cases, Quizzes).</t>
  </si>
  <si>
    <t xml:space="preserve">C2</t>
  </si>
  <si>
    <t xml:space="preserve">Check 2: frontmatter complete</t>
  </si>
  <si>
    <t xml:space="preserve">Every field in the template is filled in.</t>
  </si>
  <si>
    <t xml:space="preserve">C3</t>
  </si>
  <si>
    <t xml:space="preserve">Check 3: links to original</t>
  </si>
  <si>
    <t xml:space="preserve">The Ref note links to the original file.</t>
  </si>
  <si>
    <t xml:space="preserve">C4</t>
  </si>
  <si>
    <t xml:space="preserve">Check 4: links to existing note</t>
  </si>
  <si>
    <t xml:space="preserve">Each new note links to at least one note that was already in the vault.</t>
  </si>
  <si>
    <t xml:space="preserve">C5</t>
  </si>
  <si>
    <t xml:space="preserve">Check 5: no errors</t>
  </si>
  <si>
    <t xml:space="preserve">Nothing contradicts the file. Spot-check each note against it.</t>
  </si>
  <si>
    <t xml:space="preserve">Prompt for the current file</t>
  </si>
  <si>
    <t xml:space="preserve">Change the 3 yellow cells for each file. Then select C11:C50, copy, and paste into the AI chat.</t>
  </si>
  <si>
    <t xml:space="preserve">File name</t>
  </si>
  <si>
    <t xml:space="preserve">2026-10-20 final Transformation Architecture - Redesigned v2</t>
  </si>
  <si>
    <t xml:space="preserve">Type</t>
  </si>
  <si>
    <t xml:space="preserve">pptx</t>
  </si>
  <si>
    <t xml:space="preserve">Concepts I want covered</t>
  </si>
  <si>
    <t xml:space="preserve">Transformation,Enterprise Change, Minimise disruption, Digital Transformation ,Case: Kowhai Case</t>
  </si>
  <si>
    <t xml:space="preserve">Finished prompt (copy C11:C50)</t>
  </si>
  <si>
    <t xml:space="preserve">I am attaching one source for my MBA course. Turn it into Obsidian notes in Markdown.</t>
  </si>
  <si>
    <t xml:space="preserve">Course: {COURSE}   Day: {DAY}   Date: {DATE}</t>
  </si>
  <si>
    <t xml:space="preserve">Source file: {FILE}</t>
  </si>
  <si>
    <t xml:space="preserve">Concepts I want covered: {CONCEPTS}</t>
  </si>
  <si>
    <t xml:space="preserve">Write these notes. Put each note in its own code block, with its file name on the line above the block.</t>
  </si>
  <si>
    <t xml:space="preserve">1. ONE reference note, named after the source.</t>
  </si>
  <si>
    <t xml:space="preserve">   Frontmatter:</t>
  </si>
  <si>
    <t xml:space="preserve">   ---</t>
  </si>
  <si>
    <t xml:space="preserve">   type: reference</t>
  </si>
  <si>
    <t xml:space="preserve">   course: {COURSE}</t>
  </si>
  <si>
    <t xml:space="preserve">   day: {DAY}</t>
  </si>
  <si>
    <t xml:space="preserve">   kind: {KIND}</t>
  </si>
  <si>
    <t xml:space="preserve">   source: "{FILE}"</t>
  </si>
  <si>
    <t xml:space="preserve">   created: {DATE}</t>
  </si>
  <si>
    <t xml:space="preserve">   tags: [reference]</t>
  </si>
  <si>
    <t xml:space="preserve">   Sections: Overview (3 sentences), Key points (5 to 8, in the source's order), Frameworks and models (each linked to its core note), Questions I should be able to answer (3), Related (links to every core, case and quiz note below).</t>
  </si>
  <si>
    <t xml:space="preserve">2. THREE TO SIX core notes, one per concept from my list, named after the concept in title case.</t>
  </si>
  <si>
    <t xml:space="preserve">   Frontmatter: type: core, course: {COURSE}, first_seen: "{FILE}", created: {DATE}, tags: [core]</t>
  </si>
  <si>
    <t xml:space="preserve">   Body: Definition, Why it matters, Example from the source, Related concepts, Cases that illustrate it, Source: [[&lt;reference note title&gt;]]. Under 200 words each.</t>
  </si>
  <si>
    <t xml:space="preserve">3. ONE case note per real organisation discussed as a case, ONLY if the source has one. Name: "Case - &lt;Organisation&gt;".</t>
  </si>
  <si>
    <t xml:space="preserve">   Frontmatter: type: case, course: {COURSE}, day: {DAY}, organisation, source: "{FILE}", created: {DATE}, tags: [case]</t>
  </si>
  <si>
    <t xml:space="preserve">   Body: Context, Problem, What they did, Outcome, Concepts illustrated, Source.</t>
  </si>
  <si>
    <t xml:space="preserve">4. ONE quiz note, named "Quiz - {COURSE} {DAY} - &lt;source title&gt;".</t>
  </si>
  <si>
    <t xml:space="preserve">   5 multiple-choice questions testing understanding, not wording. 4 options each, one correct. Give the answer and a 1-2 sentence explanation for each, and link the core note it comes from.</t>
  </si>
  <si>
    <t xml:space="preserve">Rules:</t>
  </si>
  <si>
    <t xml:space="preserve">- Link notes to each other with [[Exact Title]].</t>
  </si>
  <si>
    <t xml:space="preserve">- Use only the source. No outside facts. If something is unclear, write "Unclear in source".</t>
  </si>
  <si>
    <t xml:space="preserve">- Keep the source's own names for models and frameworks.</t>
  </si>
  <si>
    <t xml:space="preserve">File #</t>
  </si>
  <si>
    <t xml:space="preserve">Method</t>
  </si>
  <si>
    <t xml:space="preserve">Words</t>
  </si>
  <si>
    <t xml:space="preserve">Stopwatch min</t>
  </si>
  <si>
    <t xml:space="preserve">myTutor run min</t>
  </si>
  <si>
    <t xml:space="preserve">Total min</t>
  </si>
  <si>
    <t xml:space="preserve">Min per 1,000 words</t>
  </si>
  <si>
    <t xml:space="preserve">Notes created</t>
  </si>
  <si>
    <t xml:space="preserve">Notes passing all 5 checks</t>
  </si>
  <si>
    <t xml:space="preserve">Quality %</t>
  </si>
  <si>
    <t xml:space="preserve">Links to existing notes</t>
  </si>
  <si>
    <t xml:space="preserve">Links per note</t>
  </si>
  <si>
    <t xml:space="preserve">Check 1 folder</t>
  </si>
  <si>
    <t xml:space="preserve">Check 2 frontmatter</t>
  </si>
  <si>
    <t xml:space="preserve">Check 3 original</t>
  </si>
  <si>
    <t xml:space="preserve">Check 4 existing</t>
  </si>
  <si>
    <t xml:space="preserve">Check 5 no errors</t>
  </si>
  <si>
    <t xml:space="preserve">Comments</t>
  </si>
  <si>
    <t xml:space="preserve">Manual</t>
  </si>
  <si>
    <t xml:space="preserve">Stakeholder Theory (R. Edward Freeman, Jeffery S. Harrison etc.).pdf</t>
  </si>
  <si>
    <t xml:space="preserve">reading</t>
  </si>
  <si>
    <t xml:space="preserve">✗</t>
  </si>
  <si>
    <t xml:space="preserve">1st upload · Manual: full PDF, Sections 3 and 5 only. myTutor: Sections 3 and 5 file. Words set to that file (was 9,900).</t>
  </si>
  <si>
    <t xml:space="preserve">Kowhai Case.pdf</t>
  </si>
  <si>
    <t xml:space="preserve">case</t>
  </si>
  <si>
    <t xml:space="preserve">subsequent upload and cross-link with first concept on stakeholder. This is a case.</t>
  </si>
  <si>
    <t xml:space="preserve">Class Slides_People and Transformation.pdf</t>
  </si>
  <si>
    <t xml:space="preserve">slides</t>
  </si>
  <si>
    <t xml:space="preserve">Need to provide prompt to relink with previous mds else some links can be missing.</t>
  </si>
  <si>
    <t xml:space="preserve">Change_Management_Stages.docx</t>
  </si>
  <si>
    <t xml:space="preserve">Verified updates and 3 new markdowns files.</t>
  </si>
  <si>
    <t xml:space="preserve">2026-10-20 final Transformation Architecture - Redesigned v2.pptx</t>
  </si>
  <si>
    <t xml:space="preserve">Verified updates and 7 new markdowns files.</t>
  </si>
  <si>
    <t xml:space="preserve">myTutor</t>
  </si>
  <si>
    <t xml:space="preserve">Check: no Case - Kowhai note was created (prompt asks for real organisations only)</t>
  </si>
  <si>
    <t xml:space="preserve">Example of a filled row (format only, not counted):</t>
  </si>
  <si>
    <t xml:space="preserve">Lecture Day 9 slides.pptx</t>
  </si>
  <si>
    <t xml:space="preserve">Quiz note frontmatter missing 'created'</t>
  </si>
  <si>
    <t xml:space="preserve">Notes:</t>
  </si>
  <si>
    <t xml:space="preserve">Stopwatch min: Manual rows = whole manual run (B3 to B13). myTutor rows = your review time only (D3 to D5).</t>
  </si>
  <si>
    <t xml:space="preserve">myTutor run min: from the myTutor log, myTutor rows only. Total min = stopwatch + run time.</t>
  </si>
  <si>
    <t xml:space="preserve">Words: copy from the myTutor log. The myTutor row copies File name, Type and Words from the Manual row above.</t>
  </si>
  <si>
    <t xml:space="preserve">Checks: ✓ if every note of that file passes, ✗ if any fails (say which note in Comments).</t>
  </si>
  <si>
    <t xml:space="preserve">Yellow = you type. Grey/white = formulas, leave alone.</t>
  </si>
  <si>
    <t xml:space="preserve">Log sheet: columns J to N</t>
  </si>
  <si>
    <t xml:space="preserve">In the myTutor rows, column K is the only one you type in.</t>
  </si>
  <si>
    <t xml:space="preserve">Column</t>
  </si>
  <si>
    <t xml:space="preserve">Meaning</t>
  </si>
  <si>
    <t xml:space="preserve">myTutor rows</t>
  </si>
  <si>
    <t xml:space="preserve">Manual rows</t>
  </si>
  <si>
    <t xml:space="preserve">Notes created (J)</t>
  </si>
  <si>
    <t xml:space="preserve">How many notes this file produced (Ref, Core, Case and Quiz notes)</t>
  </si>
  <si>
    <t xml:space="preserve">Already filled in from generate_runs.csv</t>
  </si>
  <si>
    <t xml:space="preserve">What you counted</t>
  </si>
  <si>
    <t xml:space="preserve">Notes passing all 5 checks (K)</t>
  </si>
  <si>
    <t xml:space="preserve">How many of those notes pass every check: right folder, complete frontmatter, link to the original file, link to an existing note, no errors</t>
  </si>
  <si>
    <t xml:space="preserve">Fills in from the Review tally sheet</t>
  </si>
  <si>
    <t xml:space="preserve">Already filled in</t>
  </si>
  <si>
    <t xml:space="preserve">Quality % (L)</t>
  </si>
  <si>
    <t xml:space="preserve">Notes passing ÷ notes created</t>
  </si>
  <si>
    <t xml:space="preserve">Calculated</t>
  </si>
  <si>
    <t xml:space="preserve">Links to existing notes (M)</t>
  </si>
  <si>
    <t xml:space="preserve">Links from this file's notes to notes that were already in the vault</t>
  </si>
  <si>
    <t xml:space="preserve">Links per note (N)</t>
  </si>
  <si>
    <t xml:space="preserve">Links ÷ notes created</t>
  </si>
  <si>
    <t xml:space="preserve">How to count column K</t>
  </si>
  <si>
    <t xml:space="preserve">1. On the Review tally sheet, find each note of the file and set its File # if blank (the Core notes).</t>
  </si>
  <si>
    <t xml:space="preserve">2. Open the note in Obsidian and mark the 5 checks ✓ or ✗. A note passes only if all 5 are ✓.</t>
  </si>
  <si>
    <t xml:space="preserve">3. The Pass column and Log column K fill in automatically: e.g. 6 of 7 passing shows 86% Quality.</t>
  </si>
  <si>
    <t xml:space="preserve">4. In Log columns O–S, mark ✓ or ✗ per check for the whole file; name any failing note in Comments.</t>
  </si>
  <si>
    <t xml:space="preserve">Checks 1–4 are already done for the 10 sampled notes in quality_audit.csv. The real work is check 5 (no errors): spot-check each note against the source.</t>
  </si>
  <si>
    <t xml:space="preserve">Note title</t>
  </si>
  <si>
    <t xml:space="preserve">Result</t>
  </si>
  <si>
    <t xml:space="preserve">Comment</t>
  </si>
  <si>
    <t xml:space="preserve">Quiz - MBAM601 Day 9 - Stakeholder Theory - Sections 3 and 5</t>
  </si>
  <si>
    <t xml:space="preserve">Quiz</t>
  </si>
  <si>
    <t xml:space="preserve">Stakeholder Theory - Sections 3 and 5</t>
  </si>
  <si>
    <t xml:space="preserve">Ref</t>
  </si>
  <si>
    <t xml:space="preserve">Quiz - MBAM601 Day 9 - Kowhai Case</t>
  </si>
  <si>
    <t xml:space="preserve">Kowhai Case</t>
  </si>
  <si>
    <t xml:space="preserve">Quiz - MBAM601 Day 9 - Class Slides_People and Transformation</t>
  </si>
  <si>
    <t xml:space="preserve">Class Slides_People and Transformation</t>
  </si>
  <si>
    <t xml:space="preserve">Quiz - MBAM601 Day 9 - Change Management Stages</t>
  </si>
  <si>
    <t xml:space="preserve">Change Management Stages</t>
  </si>
  <si>
    <t xml:space="preserve">Quiz - MBAM601 Day 9 - 2026-10-20 final Transformation Architecture - Redesigned v2</t>
  </si>
  <si>
    <t xml:space="preserve">Architecture Principles - Set Guidelines Get Agreement Deviate Only When False</t>
  </si>
  <si>
    <t xml:space="preserve">Core</t>
  </si>
  <si>
    <t xml:space="preserve">Concise Case for Change</t>
  </si>
  <si>
    <t xml:space="preserve">Coverage vs Continuity Trade-off</t>
  </si>
  <si>
    <t xml:space="preserve">Discontinuance and Regression</t>
  </si>
  <si>
    <t xml:space="preserve">Executive Test - Change Programme or Transformation</t>
  </si>
  <si>
    <t xml:space="preserve">Force Field Analysis</t>
  </si>
  <si>
    <t xml:space="preserve">Frontline Adoption Barriers</t>
  </si>
  <si>
    <t xml:space="preserve">Gateway Conditions for Transformation</t>
  </si>
  <si>
    <t xml:space="preserve">Guiding Coalition</t>
  </si>
  <si>
    <t xml:space="preserve">Implicit Contracts and Informal Negotiation</t>
  </si>
  <si>
    <t xml:space="preserve">Institutionalizing New Approaches</t>
  </si>
  <si>
    <t xml:space="preserve">Names-and-Faces Stakeholder Identification</t>
  </si>
  <si>
    <t xml:space="preserve">Parallel Enterprise Planning Stream</t>
  </si>
  <si>
    <t xml:space="preserve">Parallel Running of Old and New Systems</t>
  </si>
  <si>
    <t xml:space="preserve">Power vs Willingness to Help</t>
  </si>
  <si>
    <t xml:space="preserve">Primary and Secondary Stakeholders</t>
  </si>
  <si>
    <t xml:space="preserve">Schein's Culture Levels and Embedding Mechanisms</t>
  </si>
  <si>
    <t xml:space="preserve">Sense of Urgency</t>
  </si>
  <si>
    <t xml:space="preserve">Short-Term Wins</t>
  </si>
  <si>
    <t xml:space="preserve">Stakeholder Intelligence</t>
  </si>
  <si>
    <t xml:space="preserve">Stakeholder Issues Matrix and Stakeholder Synergy</t>
  </si>
  <si>
    <t xml:space="preserve">Tacit Frontline Knowledge</t>
  </si>
  <si>
    <t xml:space="preserve">Vision Creation and Communication</t>
  </si>
  <si>
    <t xml:space="preserve">Voluntary Cooperation Assumption</t>
  </si>
  <si>
    <t xml:space="preserve">File # for Core notes: open the note and follow its Source link to see which file it came from.</t>
  </si>
  <si>
    <t xml:space="preserve">Result fills in once all 5 checks are marked. Practice set and journal are not counted.</t>
  </si>
  <si>
    <t xml:space="preserve">Per file</t>
  </si>
  <si>
    <t xml:space="preserve">File</t>
  </si>
  <si>
    <t xml:space="preserve">Notes listed</t>
  </si>
  <si>
    <t xml:space="preserve">Fully checked</t>
  </si>
  <si>
    <t xml:space="preserve">Passing</t>
  </si>
  <si>
    <t xml:space="preserve">1  Stakeholder Theory - Sections 3 and 5</t>
  </si>
  <si>
    <t xml:space="preserve">2  Kowhai Case</t>
  </si>
  <si>
    <t xml:space="preserve">3  Class Slides_People and Transformation</t>
  </si>
  <si>
    <t xml:space="preserve">4  Change Management Stages</t>
  </si>
  <si>
    <t xml:space="preserve">5  2026-10-20 final Transformation Architecture - Redesigned v2</t>
  </si>
  <si>
    <t xml:space="preserve">Results: manual vs myTutor (same 5 files)</t>
  </si>
  <si>
    <t xml:space="preserve">KPI</t>
  </si>
  <si>
    <t xml:space="preserve">% change</t>
  </si>
  <si>
    <t xml:space="preserve">Better when</t>
  </si>
  <si>
    <t xml:space="preserve">Time: min per 1,000 words (total min ÷ total words)</t>
  </si>
  <si>
    <t xml:space="preserve">lower</t>
  </si>
  <si>
    <t xml:space="preserve">Note quality: notes passing all 5 checks</t>
  </si>
  <si>
    <t xml:space="preserve">higher</t>
  </si>
  <si>
    <t xml:space="preserve">Links to existing notes per note</t>
  </si>
  <si>
    <t xml:space="preserve">Total minutes (5 files)</t>
  </si>
  <si>
    <t xml:space="preserve">% change = (myTutor − Manual) ÷ Manual. Fills in automatically from the Log sheet.</t>
  </si>
  <si>
    <t xml:space="preserve">Limitations to report</t>
  </si>
  <si>
    <t xml:space="preserve">– Only 5 files; time is normalised per 1,000 words.</t>
  </si>
  <si>
    <t xml:space="preserve">– Downloading and reading are excluded from both methods, as they are identical.</t>
  </si>
  <si>
    <t xml:space="preserve">– A saved prompt was pasted, so manual times are likely faster than usual: any saving is cautious.</t>
  </si>
  <si>
    <t xml:space="preserve">– Times and checks are self-recorded.</t>
  </si>
  <si>
    <t xml:space="preserve">– myTutor review = 15 s/note (stopwatch average over 5 files), a spot-check not a full read; at 30 s/note the saving is still −54%; break-even 1.2 min/note.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</si>
</sst>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0.00"/>
    <numFmt numFmtId="169" formatCode="\+0%;\-0%;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name val="Consolas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0"/>
  </cols>
  <sheetData>
    <row r="2" customFormat="false" ht="19.5" hidden="false" customHeight="true" outlineLevel="0" collapsed="false">
      <c r="B2" s="2" t="s">
        <v>0</v>
      </c>
    </row>
    <row r="3" customFormat="false" ht="14.25" hidden="false" customHeight="true" outlineLevel="0" collapsed="false">
      <c r="B3" s="3" t="s">
        <v>1</v>
      </c>
    </row>
    <row r="5" customFormat="false" ht="14.25" hidden="false" customHeight="true" outlineLevel="0" collapsed="false">
      <c r="B5" s="4" t="s">
        <v>2</v>
      </c>
    </row>
    <row r="6" customFormat="false" ht="14.25" hidden="false" customHeight="true" outlineLevel="0" collapsed="false">
      <c r="B6" s="5" t="s">
        <v>3</v>
      </c>
      <c r="C6" s="6" t="s">
        <v>4</v>
      </c>
    </row>
    <row r="7" customFormat="false" ht="14.25" hidden="false" customHeight="true" outlineLevel="0" collapsed="false">
      <c r="B7" s="5" t="s">
        <v>5</v>
      </c>
      <c r="C7" s="6" t="s">
        <v>6</v>
      </c>
    </row>
    <row r="8" customFormat="false" ht="14.25" hidden="false" customHeight="true" outlineLevel="0" collapsed="false">
      <c r="B8" s="5" t="s">
        <v>7</v>
      </c>
      <c r="C8" s="6" t="s">
        <v>8</v>
      </c>
    </row>
    <row r="9" customFormat="false" ht="14.25" hidden="false" customHeight="true" outlineLevel="0" collapsed="false">
      <c r="B9" s="5" t="s">
        <v>9</v>
      </c>
      <c r="C9" s="6" t="s">
        <v>10</v>
      </c>
    </row>
    <row r="10" customFormat="false" ht="14.25" hidden="false" customHeight="true" outlineLevel="0" collapsed="false">
      <c r="B10" s="3"/>
      <c r="C10" s="3"/>
    </row>
    <row r="11" customFormat="false" ht="14.25" hidden="false" customHeight="true" outlineLevel="0" collapsed="false">
      <c r="B11" s="5" t="s">
        <v>11</v>
      </c>
      <c r="C11" s="3" t="str">
        <f aca="false">C6&amp;"/"&amp;C7&amp;"/Baseline"</f>
        <v>MBAM601/Day 9/Baseline</v>
      </c>
    </row>
    <row r="12" customFormat="false" ht="14.25" hidden="false" customHeight="true" outlineLevel="0" collapsed="false">
      <c r="B12" s="3"/>
      <c r="C12" s="3"/>
    </row>
    <row r="13" customFormat="false" ht="14.25" hidden="false" customHeight="true" outlineLevel="0" collapsed="false">
      <c r="B13" s="4" t="s">
        <v>12</v>
      </c>
      <c r="C13" s="3"/>
    </row>
    <row r="14" customFormat="false" ht="14.25" hidden="false" customHeight="true" outlineLevel="0" collapsed="false">
      <c r="B14" s="7" t="s">
        <v>13</v>
      </c>
      <c r="C14" s="3" t="s">
        <v>14</v>
      </c>
    </row>
    <row r="15" customFormat="false" ht="14.25" hidden="false" customHeight="true" outlineLevel="0" collapsed="false">
      <c r="B15" s="3" t="s">
        <v>15</v>
      </c>
      <c r="C15" s="3" t="s">
        <v>16</v>
      </c>
    </row>
    <row r="16" customFormat="false" ht="14.25" hidden="false" customHeight="true" outlineLevel="0" collapsed="false">
      <c r="B16" s="3" t="s">
        <v>17</v>
      </c>
      <c r="C16" s="3" t="s">
        <v>18</v>
      </c>
    </row>
    <row r="17" customFormat="false" ht="14.25" hidden="false" customHeight="true" outlineLevel="0" collapsed="false">
      <c r="B17" s="3"/>
      <c r="C17" s="3"/>
    </row>
    <row r="18" customFormat="false" ht="14.25" hidden="false" customHeight="true" outlineLevel="0" collapsed="false">
      <c r="B18" s="4" t="s">
        <v>19</v>
      </c>
      <c r="C18" s="3"/>
    </row>
    <row r="19" customFormat="false" ht="14.25" hidden="false" customHeight="true" outlineLevel="0" collapsed="false">
      <c r="B19" s="5" t="s">
        <v>20</v>
      </c>
      <c r="C19" s="3" t="s">
        <v>21</v>
      </c>
    </row>
    <row r="20" customFormat="false" ht="14.25" hidden="false" customHeight="true" outlineLevel="0" collapsed="false">
      <c r="B20" s="5" t="s">
        <v>22</v>
      </c>
      <c r="C20" s="3" t="s">
        <v>23</v>
      </c>
    </row>
    <row r="21" customFormat="false" ht="14.25" hidden="false" customHeight="true" outlineLevel="0" collapsed="false">
      <c r="B21" s="5" t="s">
        <v>24</v>
      </c>
      <c r="C21" s="3" t="s">
        <v>25</v>
      </c>
    </row>
    <row r="22" customFormat="false" ht="14.25" hidden="false" customHeight="true" outlineLevel="0" collapsed="false">
      <c r="B22" s="5" t="s">
        <v>26</v>
      </c>
      <c r="C2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L22" activeCellId="0" sqref="L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5.27"/>
    <col collapsed="false" customWidth="true" hidden="false" outlineLevel="0" max="2" min="2" style="1" width="19.63"/>
    <col collapsed="false" customWidth="true" hidden="false" outlineLevel="0" max="3" min="3" style="1" width="34"/>
    <col collapsed="false" customWidth="true" hidden="false" outlineLevel="0" max="4" min="4" style="1" width="70"/>
    <col collapsed="false" customWidth="true" hidden="false" outlineLevel="0" max="5" min="5" style="1" width="8"/>
    <col collapsed="false" customWidth="true" hidden="false" outlineLevel="0" max="6" min="6" style="1" width="24.36"/>
    <col collapsed="false" customWidth="true" hidden="false" outlineLevel="0" max="7" min="7" style="1" width="12.36"/>
    <col collapsed="false" customWidth="true" hidden="false" outlineLevel="0" max="8" min="8" style="1" width="10.36"/>
    <col collapsed="false" customWidth="true" hidden="false" outlineLevel="0" max="9" min="9" style="1" width="9.36"/>
    <col collapsed="false" customWidth="true" hidden="false" outlineLevel="0" max="10" min="10" style="1" width="10.18"/>
  </cols>
  <sheetData>
    <row r="1" customFormat="false" ht="14.25" hidden="false" customHeight="true" outlineLevel="0" collapsed="false">
      <c r="A1" s="8" t="s">
        <v>28</v>
      </c>
      <c r="B1" s="8" t="s">
        <v>29</v>
      </c>
      <c r="C1" s="8" t="s">
        <v>30</v>
      </c>
      <c r="D1" s="8" t="s">
        <v>31</v>
      </c>
      <c r="E1" s="8" t="s">
        <v>17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</row>
    <row r="2" customFormat="false" ht="14.25" hidden="false" customHeight="true" outlineLevel="0" collapsed="false">
      <c r="A2" s="9" t="s">
        <v>37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4.25" hidden="false" customHeight="true" outlineLevel="0" collapsed="false">
      <c r="A3" s="10" t="s">
        <v>38</v>
      </c>
      <c r="B3" s="10" t="s">
        <v>39</v>
      </c>
      <c r="C3" s="11" t="s">
        <v>40</v>
      </c>
      <c r="D3" s="12" t="s">
        <v>41</v>
      </c>
      <c r="E3" s="10" t="s">
        <v>42</v>
      </c>
      <c r="F3" s="13" t="s">
        <v>43</v>
      </c>
      <c r="G3" s="14"/>
      <c r="H3" s="14"/>
      <c r="I3" s="14"/>
      <c r="J3" s="14"/>
    </row>
    <row r="4" customFormat="false" ht="24.75" hidden="false" customHeight="true" outlineLevel="0" collapsed="false">
      <c r="A4" s="10" t="s">
        <v>38</v>
      </c>
      <c r="B4" s="10" t="s">
        <v>44</v>
      </c>
      <c r="C4" s="11" t="s">
        <v>45</v>
      </c>
      <c r="D4" s="12" t="s">
        <v>46</v>
      </c>
      <c r="E4" s="10" t="s">
        <v>42</v>
      </c>
      <c r="F4" s="13" t="s">
        <v>43</v>
      </c>
      <c r="G4" s="14"/>
      <c r="H4" s="14"/>
      <c r="I4" s="14"/>
      <c r="J4" s="14"/>
    </row>
    <row r="5" customFormat="false" ht="24.75" hidden="false" customHeight="true" outlineLevel="0" collapsed="false">
      <c r="A5" s="10" t="s">
        <v>38</v>
      </c>
      <c r="B5" s="10" t="s">
        <v>47</v>
      </c>
      <c r="C5" s="11" t="s">
        <v>48</v>
      </c>
      <c r="D5" s="12" t="s">
        <v>49</v>
      </c>
      <c r="E5" s="10" t="s">
        <v>42</v>
      </c>
      <c r="F5" s="13" t="s">
        <v>43</v>
      </c>
      <c r="G5" s="14"/>
      <c r="H5" s="14"/>
      <c r="I5" s="14"/>
      <c r="J5" s="14"/>
    </row>
    <row r="6" customFormat="false" ht="14.25" hidden="false" customHeight="true" outlineLevel="0" collapsed="false">
      <c r="A6" s="10" t="s">
        <v>38</v>
      </c>
      <c r="B6" s="10" t="s">
        <v>50</v>
      </c>
      <c r="C6" s="11" t="s">
        <v>51</v>
      </c>
      <c r="D6" s="12" t="s">
        <v>52</v>
      </c>
      <c r="E6" s="10" t="s">
        <v>42</v>
      </c>
      <c r="F6" s="13" t="s">
        <v>43</v>
      </c>
      <c r="G6" s="14"/>
      <c r="H6" s="14"/>
      <c r="I6" s="14"/>
      <c r="J6" s="14"/>
    </row>
    <row r="7" customFormat="false" ht="24.75" hidden="false" customHeight="true" outlineLevel="0" collapsed="false">
      <c r="A7" s="10" t="s">
        <v>38</v>
      </c>
      <c r="B7" s="10" t="s">
        <v>53</v>
      </c>
      <c r="C7" s="11" t="s">
        <v>54</v>
      </c>
      <c r="D7" s="12" t="str">
        <f aca="false">"In Obsidian create the folder "&amp;Start!$C$11&amp;" with four sub-folders: Ref, Core, Cases, Quizzes."</f>
        <v>In Obsidian create the folder MBAM601/Day 9/Baseline with four sub-folders: Ref, Core, Cases, Quizzes.</v>
      </c>
      <c r="E7" s="10" t="s">
        <v>42</v>
      </c>
      <c r="F7" s="13" t="s">
        <v>43</v>
      </c>
      <c r="G7" s="14"/>
      <c r="H7" s="14"/>
      <c r="I7" s="14"/>
      <c r="J7" s="14"/>
    </row>
    <row r="8" customFormat="false" ht="24.75" hidden="false" customHeight="true" outlineLevel="0" collapsed="false">
      <c r="A8" s="10" t="s">
        <v>38</v>
      </c>
      <c r="B8" s="10" t="s">
        <v>55</v>
      </c>
      <c r="C8" s="11" t="s">
        <v>56</v>
      </c>
      <c r="D8" s="12" t="s">
        <v>57</v>
      </c>
      <c r="E8" s="10" t="s">
        <v>42</v>
      </c>
      <c r="F8" s="13" t="s">
        <v>43</v>
      </c>
      <c r="G8" s="14"/>
      <c r="H8" s="14"/>
      <c r="I8" s="14"/>
      <c r="J8" s="14"/>
    </row>
    <row r="9" customFormat="false" ht="14.25" hidden="false" customHeight="true" outlineLevel="0" collapsed="false">
      <c r="A9" s="9" t="s">
        <v>58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14.25" hidden="false" customHeight="true" outlineLevel="0" collapsed="false">
      <c r="A10" s="10" t="s">
        <v>59</v>
      </c>
      <c r="B10" s="10" t="s">
        <v>60</v>
      </c>
      <c r="C10" s="11" t="s">
        <v>61</v>
      </c>
      <c r="D10" s="12" t="s">
        <v>62</v>
      </c>
      <c r="E10" s="10" t="s">
        <v>42</v>
      </c>
      <c r="F10" s="13" t="s">
        <v>43</v>
      </c>
      <c r="G10" s="13" t="s">
        <v>43</v>
      </c>
      <c r="H10" s="13" t="s">
        <v>43</v>
      </c>
      <c r="I10" s="13" t="s">
        <v>43</v>
      </c>
      <c r="J10" s="13" t="s">
        <v>43</v>
      </c>
    </row>
    <row r="11" customFormat="false" ht="14.25" hidden="false" customHeight="true" outlineLevel="0" collapsed="false">
      <c r="A11" s="10" t="s">
        <v>59</v>
      </c>
      <c r="B11" s="10" t="s">
        <v>63</v>
      </c>
      <c r="C11" s="11" t="s">
        <v>64</v>
      </c>
      <c r="D11" s="12" t="s">
        <v>65</v>
      </c>
      <c r="E11" s="10" t="s">
        <v>42</v>
      </c>
      <c r="F11" s="13" t="s">
        <v>43</v>
      </c>
      <c r="G11" s="13" t="s">
        <v>43</v>
      </c>
      <c r="H11" s="13" t="s">
        <v>43</v>
      </c>
      <c r="I11" s="13" t="s">
        <v>43</v>
      </c>
      <c r="J11" s="13" t="s">
        <v>43</v>
      </c>
    </row>
    <row r="12" customFormat="false" ht="14.25" hidden="false" customHeight="true" outlineLevel="0" collapsed="false">
      <c r="A12" s="10" t="s">
        <v>59</v>
      </c>
      <c r="B12" s="10" t="s">
        <v>66</v>
      </c>
      <c r="C12" s="11" t="s">
        <v>67</v>
      </c>
      <c r="D12" s="12" t="s">
        <v>68</v>
      </c>
      <c r="E12" s="15" t="s">
        <v>69</v>
      </c>
      <c r="F12" s="13" t="s">
        <v>43</v>
      </c>
      <c r="G12" s="13" t="s">
        <v>43</v>
      </c>
      <c r="H12" s="13" t="s">
        <v>43</v>
      </c>
      <c r="I12" s="13" t="s">
        <v>43</v>
      </c>
      <c r="J12" s="13" t="s">
        <v>43</v>
      </c>
    </row>
    <row r="13" customFormat="false" ht="37.5" hidden="false" customHeight="true" outlineLevel="0" collapsed="false">
      <c r="A13" s="10" t="s">
        <v>59</v>
      </c>
      <c r="B13" s="10" t="s">
        <v>70</v>
      </c>
      <c r="C13" s="11" t="s">
        <v>71</v>
      </c>
      <c r="D13" s="12" t="s">
        <v>72</v>
      </c>
      <c r="E13" s="15" t="s">
        <v>69</v>
      </c>
      <c r="F13" s="13" t="s">
        <v>43</v>
      </c>
      <c r="G13" s="13" t="s">
        <v>43</v>
      </c>
      <c r="H13" s="13" t="s">
        <v>43</v>
      </c>
      <c r="I13" s="13" t="s">
        <v>43</v>
      </c>
      <c r="J13" s="13" t="s">
        <v>43</v>
      </c>
    </row>
    <row r="14" customFormat="false" ht="24.75" hidden="false" customHeight="true" outlineLevel="0" collapsed="false">
      <c r="A14" s="10" t="s">
        <v>59</v>
      </c>
      <c r="B14" s="10" t="s">
        <v>73</v>
      </c>
      <c r="C14" s="11" t="s">
        <v>74</v>
      </c>
      <c r="D14" s="12" t="s">
        <v>75</v>
      </c>
      <c r="E14" s="15" t="s">
        <v>69</v>
      </c>
      <c r="F14" s="13" t="s">
        <v>43</v>
      </c>
      <c r="G14" s="13" t="s">
        <v>43</v>
      </c>
      <c r="H14" s="13" t="s">
        <v>43</v>
      </c>
      <c r="I14" s="13" t="s">
        <v>43</v>
      </c>
      <c r="J14" s="13" t="s">
        <v>43</v>
      </c>
    </row>
    <row r="15" customFormat="false" ht="24.75" hidden="false" customHeight="true" outlineLevel="0" collapsed="false">
      <c r="A15" s="10" t="s">
        <v>59</v>
      </c>
      <c r="B15" s="10" t="s">
        <v>76</v>
      </c>
      <c r="C15" s="11" t="s">
        <v>77</v>
      </c>
      <c r="D15" s="12" t="s">
        <v>78</v>
      </c>
      <c r="E15" s="15" t="s">
        <v>69</v>
      </c>
      <c r="F15" s="13" t="s">
        <v>43</v>
      </c>
      <c r="G15" s="13" t="s">
        <v>43</v>
      </c>
      <c r="H15" s="13" t="s">
        <v>43</v>
      </c>
      <c r="I15" s="13" t="s">
        <v>43</v>
      </c>
      <c r="J15" s="13" t="s">
        <v>43</v>
      </c>
    </row>
    <row r="16" customFormat="false" ht="24.75" hidden="false" customHeight="true" outlineLevel="0" collapsed="false">
      <c r="A16" s="10" t="s">
        <v>59</v>
      </c>
      <c r="B16" s="10" t="s">
        <v>79</v>
      </c>
      <c r="C16" s="11" t="s">
        <v>80</v>
      </c>
      <c r="D16" s="12" t="s">
        <v>81</v>
      </c>
      <c r="E16" s="15" t="s">
        <v>69</v>
      </c>
      <c r="F16" s="13" t="s">
        <v>43</v>
      </c>
      <c r="G16" s="13" t="s">
        <v>43</v>
      </c>
      <c r="H16" s="13" t="s">
        <v>43</v>
      </c>
      <c r="I16" s="13" t="s">
        <v>43</v>
      </c>
      <c r="J16" s="13" t="s">
        <v>43</v>
      </c>
    </row>
    <row r="17" customFormat="false" ht="24.75" hidden="false" customHeight="true" outlineLevel="0" collapsed="false">
      <c r="A17" s="10" t="s">
        <v>59</v>
      </c>
      <c r="B17" s="10" t="s">
        <v>82</v>
      </c>
      <c r="C17" s="11" t="s">
        <v>83</v>
      </c>
      <c r="D17" s="12" t="s">
        <v>84</v>
      </c>
      <c r="E17" s="15" t="s">
        <v>69</v>
      </c>
      <c r="F17" s="13" t="s">
        <v>43</v>
      </c>
      <c r="G17" s="13" t="s">
        <v>43</v>
      </c>
      <c r="H17" s="13" t="s">
        <v>43</v>
      </c>
      <c r="I17" s="13" t="s">
        <v>43</v>
      </c>
      <c r="J17" s="13" t="s">
        <v>43</v>
      </c>
    </row>
    <row r="18" customFormat="false" ht="14.25" hidden="false" customHeight="true" outlineLevel="0" collapsed="false">
      <c r="A18" s="10" t="s">
        <v>59</v>
      </c>
      <c r="B18" s="10" t="s">
        <v>85</v>
      </c>
      <c r="C18" s="11" t="s">
        <v>86</v>
      </c>
      <c r="D18" s="12" t="s">
        <v>87</v>
      </c>
      <c r="E18" s="15" t="s">
        <v>69</v>
      </c>
      <c r="F18" s="13" t="s">
        <v>43</v>
      </c>
      <c r="G18" s="13" t="s">
        <v>43</v>
      </c>
      <c r="H18" s="13" t="s">
        <v>43</v>
      </c>
      <c r="I18" s="13" t="s">
        <v>43</v>
      </c>
      <c r="J18" s="13" t="s">
        <v>43</v>
      </c>
    </row>
    <row r="19" customFormat="false" ht="14.25" hidden="false" customHeight="true" outlineLevel="0" collapsed="false">
      <c r="A19" s="10" t="s">
        <v>59</v>
      </c>
      <c r="B19" s="10" t="s">
        <v>88</v>
      </c>
      <c r="C19" s="11" t="s">
        <v>89</v>
      </c>
      <c r="D19" s="12" t="s">
        <v>90</v>
      </c>
      <c r="E19" s="15" t="s">
        <v>69</v>
      </c>
      <c r="F19" s="13" t="s">
        <v>43</v>
      </c>
      <c r="G19" s="13" t="s">
        <v>43</v>
      </c>
      <c r="H19" s="13" t="s">
        <v>43</v>
      </c>
      <c r="I19" s="13" t="s">
        <v>43</v>
      </c>
      <c r="J19" s="13" t="s">
        <v>43</v>
      </c>
    </row>
    <row r="20" customFormat="false" ht="24.75" hidden="false" customHeight="true" outlineLevel="0" collapsed="false">
      <c r="A20" s="10" t="s">
        <v>59</v>
      </c>
      <c r="B20" s="10" t="s">
        <v>91</v>
      </c>
      <c r="C20" s="11" t="s">
        <v>92</v>
      </c>
      <c r="D20" s="12" t="s">
        <v>93</v>
      </c>
      <c r="E20" s="15" t="s">
        <v>69</v>
      </c>
      <c r="F20" s="13"/>
      <c r="G20" s="13"/>
      <c r="H20" s="13"/>
      <c r="I20" s="13"/>
      <c r="J20" s="13"/>
    </row>
    <row r="21" customFormat="false" ht="14.25" hidden="false" customHeight="true" outlineLevel="0" collapsed="false">
      <c r="A21" s="10" t="s">
        <v>59</v>
      </c>
      <c r="B21" s="10" t="s">
        <v>94</v>
      </c>
      <c r="C21" s="11" t="s">
        <v>95</v>
      </c>
      <c r="D21" s="12" t="s">
        <v>96</v>
      </c>
      <c r="E21" s="15" t="s">
        <v>69</v>
      </c>
      <c r="F21" s="13" t="s">
        <v>43</v>
      </c>
      <c r="G21" s="13" t="s">
        <v>43</v>
      </c>
      <c r="H21" s="13" t="s">
        <v>43</v>
      </c>
      <c r="I21" s="13" t="s">
        <v>43</v>
      </c>
      <c r="J21" s="13" t="s">
        <v>43</v>
      </c>
    </row>
    <row r="22" customFormat="false" ht="24.75" hidden="false" customHeight="true" outlineLevel="0" collapsed="false">
      <c r="A22" s="10" t="s">
        <v>59</v>
      </c>
      <c r="B22" s="10" t="s">
        <v>97</v>
      </c>
      <c r="C22" s="11" t="s">
        <v>98</v>
      </c>
      <c r="D22" s="12" t="s">
        <v>99</v>
      </c>
      <c r="E22" s="15" t="s">
        <v>69</v>
      </c>
      <c r="F22" s="13" t="s">
        <v>43</v>
      </c>
      <c r="G22" s="13" t="s">
        <v>43</v>
      </c>
      <c r="H22" s="13" t="s">
        <v>43</v>
      </c>
      <c r="I22" s="13" t="s">
        <v>43</v>
      </c>
      <c r="J22" s="13" t="s">
        <v>43</v>
      </c>
    </row>
    <row r="23" customFormat="false" ht="24.75" hidden="false" customHeight="true" outlineLevel="0" collapsed="false">
      <c r="A23" s="10" t="s">
        <v>59</v>
      </c>
      <c r="B23" s="10" t="s">
        <v>100</v>
      </c>
      <c r="C23" s="11" t="s">
        <v>101</v>
      </c>
      <c r="D23" s="12" t="s">
        <v>102</v>
      </c>
      <c r="E23" s="10" t="s">
        <v>42</v>
      </c>
      <c r="F23" s="13" t="s">
        <v>43</v>
      </c>
      <c r="G23" s="13" t="s">
        <v>43</v>
      </c>
      <c r="H23" s="13" t="s">
        <v>43</v>
      </c>
      <c r="I23" s="13" t="s">
        <v>43</v>
      </c>
      <c r="J23" s="13" t="s">
        <v>43</v>
      </c>
    </row>
    <row r="24" customFormat="false" ht="14.25" hidden="false" customHeight="true" outlineLevel="0" collapsed="false">
      <c r="A24" s="9" t="s">
        <v>103</v>
      </c>
      <c r="B24" s="9"/>
      <c r="C24" s="9"/>
      <c r="D24" s="9"/>
      <c r="E24" s="9"/>
      <c r="F24" s="9"/>
      <c r="G24" s="9"/>
      <c r="H24" s="9"/>
      <c r="I24" s="9"/>
      <c r="J24" s="9"/>
    </row>
    <row r="25" customFormat="false" ht="24.75" hidden="false" customHeight="true" outlineLevel="0" collapsed="false">
      <c r="A25" s="10" t="s">
        <v>104</v>
      </c>
      <c r="B25" s="10" t="s">
        <v>105</v>
      </c>
      <c r="C25" s="11" t="s">
        <v>106</v>
      </c>
      <c r="D25" s="12" t="s">
        <v>107</v>
      </c>
      <c r="E25" s="10" t="s">
        <v>42</v>
      </c>
      <c r="F25" s="13" t="s">
        <v>43</v>
      </c>
      <c r="G25" s="13" t="s">
        <v>43</v>
      </c>
      <c r="H25" s="13" t="s">
        <v>43</v>
      </c>
      <c r="I25" s="13" t="s">
        <v>43</v>
      </c>
      <c r="J25" s="13" t="s">
        <v>43</v>
      </c>
    </row>
    <row r="26" customFormat="false" ht="24.75" hidden="false" customHeight="true" outlineLevel="0" collapsed="false">
      <c r="A26" s="10" t="s">
        <v>104</v>
      </c>
      <c r="B26" s="10" t="s">
        <v>108</v>
      </c>
      <c r="C26" s="11" t="s">
        <v>109</v>
      </c>
      <c r="D26" s="12" t="s">
        <v>110</v>
      </c>
      <c r="E26" s="10" t="s">
        <v>42</v>
      </c>
      <c r="F26" s="13" t="s">
        <v>43</v>
      </c>
      <c r="G26" s="13" t="s">
        <v>43</v>
      </c>
      <c r="H26" s="13" t="s">
        <v>43</v>
      </c>
      <c r="I26" s="13" t="s">
        <v>43</v>
      </c>
      <c r="J26" s="13" t="s">
        <v>43</v>
      </c>
    </row>
    <row r="27" customFormat="false" ht="14.25" hidden="false" customHeight="true" outlineLevel="0" collapsed="false">
      <c r="A27" s="10" t="s">
        <v>104</v>
      </c>
      <c r="B27" s="10" t="s">
        <v>111</v>
      </c>
      <c r="C27" s="11" t="s">
        <v>67</v>
      </c>
      <c r="D27" s="12" t="s">
        <v>112</v>
      </c>
      <c r="E27" s="15" t="s">
        <v>69</v>
      </c>
      <c r="F27" s="13" t="s">
        <v>43</v>
      </c>
      <c r="G27" s="13" t="s">
        <v>43</v>
      </c>
      <c r="H27" s="13" t="s">
        <v>43</v>
      </c>
      <c r="I27" s="13" t="s">
        <v>43</v>
      </c>
      <c r="J27" s="13" t="s">
        <v>43</v>
      </c>
    </row>
    <row r="28" customFormat="false" ht="14.25" hidden="false" customHeight="true" outlineLevel="0" collapsed="false">
      <c r="A28" s="10" t="s">
        <v>104</v>
      </c>
      <c r="B28" s="10" t="s">
        <v>113</v>
      </c>
      <c r="C28" s="11" t="s">
        <v>114</v>
      </c>
      <c r="D28" s="12" t="s">
        <v>115</v>
      </c>
      <c r="E28" s="15" t="s">
        <v>69</v>
      </c>
      <c r="F28" s="13"/>
      <c r="G28" s="13"/>
      <c r="H28" s="13"/>
      <c r="I28" s="13"/>
      <c r="J28" s="13"/>
    </row>
    <row r="29" customFormat="false" ht="14.25" hidden="false" customHeight="true" outlineLevel="0" collapsed="false">
      <c r="A29" s="10" t="s">
        <v>104</v>
      </c>
      <c r="B29" s="10" t="s">
        <v>116</v>
      </c>
      <c r="C29" s="11" t="s">
        <v>98</v>
      </c>
      <c r="D29" s="12"/>
      <c r="E29" s="15" t="s">
        <v>69</v>
      </c>
      <c r="F29" s="13" t="s">
        <v>43</v>
      </c>
      <c r="G29" s="13" t="s">
        <v>43</v>
      </c>
      <c r="H29" s="13" t="s">
        <v>43</v>
      </c>
      <c r="I29" s="13" t="s">
        <v>43</v>
      </c>
      <c r="J29" s="13" t="s">
        <v>43</v>
      </c>
    </row>
    <row r="30" customFormat="false" ht="24.75" hidden="false" customHeight="true" outlineLevel="0" collapsed="false">
      <c r="A30" s="10" t="s">
        <v>104</v>
      </c>
      <c r="B30" s="10" t="s">
        <v>117</v>
      </c>
      <c r="C30" s="11" t="s">
        <v>101</v>
      </c>
      <c r="D30" s="12" t="s">
        <v>118</v>
      </c>
      <c r="E30" s="10" t="s">
        <v>42</v>
      </c>
      <c r="F30" s="13" t="s">
        <v>43</v>
      </c>
      <c r="G30" s="13" t="s">
        <v>43</v>
      </c>
      <c r="H30" s="13" t="s">
        <v>43</v>
      </c>
      <c r="I30" s="13" t="s">
        <v>43</v>
      </c>
      <c r="J30" s="13" t="s">
        <v>43</v>
      </c>
    </row>
    <row r="31" customFormat="false" ht="24.75" hidden="false" customHeight="true" outlineLevel="0" collapsed="false">
      <c r="A31" s="10" t="s">
        <v>119</v>
      </c>
      <c r="B31" s="10" t="s">
        <v>120</v>
      </c>
      <c r="C31" s="11" t="s">
        <v>121</v>
      </c>
      <c r="D31" s="12" t="s">
        <v>122</v>
      </c>
      <c r="E31" s="10" t="s">
        <v>42</v>
      </c>
      <c r="F31" s="13" t="s">
        <v>43</v>
      </c>
      <c r="G31" s="13" t="s">
        <v>43</v>
      </c>
      <c r="H31" s="13" t="s">
        <v>43</v>
      </c>
      <c r="I31" s="13" t="s">
        <v>43</v>
      </c>
      <c r="J31" s="13" t="s">
        <v>43</v>
      </c>
    </row>
    <row r="32" customFormat="false" ht="14.25" hidden="false" customHeight="true" outlineLevel="0" collapsed="false">
      <c r="A32" s="9" t="s">
        <v>123</v>
      </c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4.25" hidden="false" customHeight="true" outlineLevel="0" collapsed="false">
      <c r="A33" s="10" t="s">
        <v>124</v>
      </c>
      <c r="B33" s="10" t="s">
        <v>125</v>
      </c>
      <c r="C33" s="11" t="s">
        <v>126</v>
      </c>
      <c r="D33" s="12" t="s">
        <v>127</v>
      </c>
      <c r="E33" s="10"/>
      <c r="F33" s="14"/>
      <c r="G33" s="14"/>
      <c r="H33" s="14"/>
      <c r="I33" s="14"/>
      <c r="J33" s="14"/>
    </row>
    <row r="34" customFormat="false" ht="14.25" hidden="false" customHeight="true" outlineLevel="0" collapsed="false">
      <c r="A34" s="10" t="s">
        <v>124</v>
      </c>
      <c r="B34" s="10" t="s">
        <v>128</v>
      </c>
      <c r="C34" s="11" t="s">
        <v>129</v>
      </c>
      <c r="D34" s="12" t="s">
        <v>130</v>
      </c>
      <c r="E34" s="10"/>
      <c r="F34" s="14"/>
      <c r="G34" s="14"/>
      <c r="H34" s="14"/>
      <c r="I34" s="14"/>
      <c r="J34" s="14"/>
    </row>
    <row r="35" customFormat="false" ht="14.25" hidden="false" customHeight="true" outlineLevel="0" collapsed="false">
      <c r="A35" s="10" t="s">
        <v>124</v>
      </c>
      <c r="B35" s="10" t="s">
        <v>131</v>
      </c>
      <c r="C35" s="11" t="s">
        <v>132</v>
      </c>
      <c r="D35" s="12" t="s">
        <v>133</v>
      </c>
      <c r="E35" s="10"/>
      <c r="F35" s="14"/>
      <c r="G35" s="14"/>
      <c r="H35" s="14"/>
      <c r="I35" s="14"/>
      <c r="J35" s="14"/>
    </row>
    <row r="36" customFormat="false" ht="14.25" hidden="false" customHeight="true" outlineLevel="0" collapsed="false">
      <c r="A36" s="10" t="s">
        <v>124</v>
      </c>
      <c r="B36" s="10" t="s">
        <v>134</v>
      </c>
      <c r="C36" s="11" t="s">
        <v>135</v>
      </c>
      <c r="D36" s="12" t="s">
        <v>136</v>
      </c>
      <c r="E36" s="10"/>
      <c r="F36" s="14"/>
      <c r="G36" s="14"/>
      <c r="H36" s="14"/>
      <c r="I36" s="14"/>
      <c r="J36" s="14"/>
    </row>
    <row r="37" customFormat="false" ht="14.25" hidden="false" customHeight="true" outlineLevel="0" collapsed="false">
      <c r="A37" s="10" t="s">
        <v>124</v>
      </c>
      <c r="B37" s="10" t="s">
        <v>137</v>
      </c>
      <c r="C37" s="11" t="s">
        <v>138</v>
      </c>
      <c r="D37" s="12" t="s">
        <v>139</v>
      </c>
      <c r="E37" s="10"/>
      <c r="F37" s="14"/>
      <c r="G37" s="14"/>
      <c r="H37" s="14"/>
      <c r="I37" s="14"/>
      <c r="J37" s="14"/>
    </row>
  </sheetData>
  <mergeCells count="4">
    <mergeCell ref="A2:J2"/>
    <mergeCell ref="A9:J9"/>
    <mergeCell ref="A24:J24"/>
    <mergeCell ref="A32:J32"/>
  </mergeCells>
  <dataValidations count="1">
    <dataValidation allowBlank="true" errorStyle="stop" operator="between" showDropDown="false" showErrorMessage="false" showInputMessage="false" sqref="F3:F8 F10:J23 F25:J31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C5" activeCellId="0" sqref="C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10"/>
    <col collapsed="false" customWidth="true" hidden="true" outlineLevel="0" max="5" min="5" style="1" width="13"/>
  </cols>
  <sheetData>
    <row r="2" customFormat="false" ht="18" hidden="false" customHeight="true" outlineLevel="0" collapsed="false">
      <c r="B2" s="16" t="s">
        <v>140</v>
      </c>
    </row>
    <row r="3" customFormat="false" ht="14.25" hidden="false" customHeight="true" outlineLevel="0" collapsed="false">
      <c r="B3" s="3" t="s">
        <v>141</v>
      </c>
    </row>
    <row r="5" customFormat="false" ht="14.25" hidden="false" customHeight="true" outlineLevel="0" collapsed="false">
      <c r="B5" s="5" t="s">
        <v>142</v>
      </c>
      <c r="C5" s="17" t="s">
        <v>143</v>
      </c>
    </row>
    <row r="6" customFormat="false" ht="14.25" hidden="false" customHeight="true" outlineLevel="0" collapsed="false">
      <c r="B6" s="5" t="s">
        <v>144</v>
      </c>
      <c r="C6" s="17" t="s">
        <v>145</v>
      </c>
    </row>
    <row r="7" customFormat="false" ht="14.25" hidden="false" customHeight="true" outlineLevel="0" collapsed="false">
      <c r="B7" s="5" t="s">
        <v>146</v>
      </c>
      <c r="C7" s="17" t="s">
        <v>147</v>
      </c>
    </row>
    <row r="9" customFormat="false" ht="14.25" hidden="false" customHeight="true" outlineLevel="0" collapsed="false">
      <c r="B9" s="4" t="s">
        <v>148</v>
      </c>
    </row>
    <row r="11" customFormat="false" ht="14.25" hidden="false" customHeight="true" outlineLevel="0" collapsed="false">
      <c r="C11" s="18" t="str">
        <f aca="false">SUBSTITUTE(SUBSTITUTE(SUBSTITUTE(SUBSTITUTE(SUBSTITUTE(SUBSTITUTE($E11,"{COURSE}",Start!$C$6),"{DAY}",Start!$C$7),"{DATE}",IF(ISNUMBER(Start!$C$8),TEXT(Start!$C$8,"yyyy-mm-dd"),Start!$C$8)),"{FILE}",$C$5),"{KIND}",$C$6),"{CONCEPTS}",$C$7)</f>
        <v>I am attaching one source for my MBA course. Turn it into Obsidian notes in Markdown.</v>
      </c>
      <c r="E11" s="1" t="s">
        <v>149</v>
      </c>
    </row>
    <row r="12" customFormat="false" ht="14.25" hidden="false" customHeight="true" outlineLevel="0" collapsed="false">
      <c r="C12" s="18" t="str">
        <f aca="false">SUBSTITUTE(SUBSTITUTE(SUBSTITUTE(SUBSTITUTE(SUBSTITUTE(SUBSTITUTE($E12,"{COURSE}",Start!$C$6),"{DAY}",Start!$C$7),"{DATE}",IF(ISNUMBER(Start!$C$8),TEXT(Start!$C$8,"yyyy-mm-dd"),Start!$C$8)),"{FILE}",$C$5),"{KIND}",$C$6),"{CONCEPTS}",$C$7)</f>
        <v/>
      </c>
    </row>
    <row r="13" customFormat="false" ht="14.25" hidden="false" customHeight="true" outlineLevel="0" collapsed="false">
      <c r="C13" s="18" t="str">
        <f aca="false">SUBSTITUTE(SUBSTITUTE(SUBSTITUTE(SUBSTITUTE(SUBSTITUTE(SUBSTITUTE($E13,"{COURSE}",Start!$C$6),"{DAY}",Start!$C$7),"{DATE}",IF(ISNUMBER(Start!$C$8),TEXT(Start!$C$8,"yyyy-mm-dd"),Start!$C$8)),"{FILE}",$C$5),"{KIND}",$C$6),"{CONCEPTS}",$C$7)</f>
        <v>Course: MBAM601   Day: Day 9   Date: 2026-10-20</v>
      </c>
      <c r="E13" s="1" t="s">
        <v>150</v>
      </c>
    </row>
    <row r="14" customFormat="false" ht="14.25" hidden="false" customHeight="true" outlineLevel="0" collapsed="false">
      <c r="C14" s="18" t="str">
        <f aca="false">SUBSTITUTE(SUBSTITUTE(SUBSTITUTE(SUBSTITUTE(SUBSTITUTE(SUBSTITUTE($E14,"{COURSE}",Start!$C$6),"{DAY}",Start!$C$7),"{DATE}",IF(ISNUMBER(Start!$C$8),TEXT(Start!$C$8,"yyyy-mm-dd"),Start!$C$8)),"{FILE}",$C$5),"{KIND}",$C$6),"{CONCEPTS}",$C$7)</f>
        <v>Source file: 2026-10-20 final Transformation Architecture - Redesigned v2</v>
      </c>
      <c r="E14" s="1" t="s">
        <v>151</v>
      </c>
    </row>
    <row r="15" customFormat="false" ht="14.25" hidden="false" customHeight="true" outlineLevel="0" collapsed="false">
      <c r="C15" s="18" t="str">
        <f aca="false">SUBSTITUTE(SUBSTITUTE(SUBSTITUTE(SUBSTITUTE(SUBSTITUTE(SUBSTITUTE($E15,"{COURSE}",Start!$C$6),"{DAY}",Start!$C$7),"{DATE}",IF(ISNUMBER(Start!$C$8),TEXT(Start!$C$8,"yyyy-mm-dd"),Start!$C$8)),"{FILE}",$C$5),"{KIND}",$C$6),"{CONCEPTS}",$C$7)</f>
        <v>Concepts I want covered: Transformation,Enterprise Change, Minimise disruption, Digital Transformation ,Case: Kowhai Case</v>
      </c>
      <c r="E15" s="1" t="s">
        <v>152</v>
      </c>
    </row>
    <row r="16" customFormat="false" ht="14.25" hidden="false" customHeight="true" outlineLevel="0" collapsed="false">
      <c r="C16" s="18" t="str">
        <f aca="false">SUBSTITUTE(SUBSTITUTE(SUBSTITUTE(SUBSTITUTE(SUBSTITUTE(SUBSTITUTE($E16,"{COURSE}",Start!$C$6),"{DAY}",Start!$C$7),"{DATE}",IF(ISNUMBER(Start!$C$8),TEXT(Start!$C$8,"yyyy-mm-dd"),Start!$C$8)),"{FILE}",$C$5),"{KIND}",$C$6),"{CONCEPTS}",$C$7)</f>
        <v/>
      </c>
    </row>
    <row r="17" customFormat="false" ht="14.25" hidden="false" customHeight="true" outlineLevel="0" collapsed="false">
      <c r="C17" s="18" t="str">
        <f aca="false">SUBSTITUTE(SUBSTITUTE(SUBSTITUTE(SUBSTITUTE(SUBSTITUTE(SUBSTITUTE($E17,"{COURSE}",Start!$C$6),"{DAY}",Start!$C$7),"{DATE}",IF(ISNUMBER(Start!$C$8),TEXT(Start!$C$8,"yyyy-mm-dd"),Start!$C$8)),"{FILE}",$C$5),"{KIND}",$C$6),"{CONCEPTS}",$C$7)</f>
        <v>Write these notes. Put each note in its own code block, with its file name on the line above the block.</v>
      </c>
      <c r="E17" s="1" t="s">
        <v>153</v>
      </c>
    </row>
    <row r="18" customFormat="false" ht="14.25" hidden="false" customHeight="true" outlineLevel="0" collapsed="false">
      <c r="C18" s="18" t="str">
        <f aca="false">SUBSTITUTE(SUBSTITUTE(SUBSTITUTE(SUBSTITUTE(SUBSTITUTE(SUBSTITUTE($E18,"{COURSE}",Start!$C$6),"{DAY}",Start!$C$7),"{DATE}",IF(ISNUMBER(Start!$C$8),TEXT(Start!$C$8,"yyyy-mm-dd"),Start!$C$8)),"{FILE}",$C$5),"{KIND}",$C$6),"{CONCEPTS}",$C$7)</f>
        <v/>
      </c>
    </row>
    <row r="19" customFormat="false" ht="14.25" hidden="false" customHeight="true" outlineLevel="0" collapsed="false">
      <c r="C19" s="18" t="str">
        <f aca="false">SUBSTITUTE(SUBSTITUTE(SUBSTITUTE(SUBSTITUTE(SUBSTITUTE(SUBSTITUTE($E19,"{COURSE}",Start!$C$6),"{DAY}",Start!$C$7),"{DATE}",IF(ISNUMBER(Start!$C$8),TEXT(Start!$C$8,"yyyy-mm-dd"),Start!$C$8)),"{FILE}",$C$5),"{KIND}",$C$6),"{CONCEPTS}",$C$7)</f>
        <v>1. ONE reference note, named after the source.</v>
      </c>
      <c r="E19" s="1" t="s">
        <v>154</v>
      </c>
    </row>
    <row r="20" customFormat="false" ht="14.25" hidden="false" customHeight="true" outlineLevel="0" collapsed="false">
      <c r="C20" s="18" t="str">
        <f aca="false">SUBSTITUTE(SUBSTITUTE(SUBSTITUTE(SUBSTITUTE(SUBSTITUTE(SUBSTITUTE($E20,"{COURSE}",Start!$C$6),"{DAY}",Start!$C$7),"{DATE}",IF(ISNUMBER(Start!$C$8),TEXT(Start!$C$8,"yyyy-mm-dd"),Start!$C$8)),"{FILE}",$C$5),"{KIND}",$C$6),"{CONCEPTS}",$C$7)</f>
        <v>   Frontmatter:</v>
      </c>
      <c r="E20" s="1" t="s">
        <v>155</v>
      </c>
    </row>
    <row r="21" customFormat="false" ht="14.25" hidden="false" customHeight="true" outlineLevel="0" collapsed="false">
      <c r="C21" s="18" t="str">
        <f aca="false">SUBSTITUTE(SUBSTITUTE(SUBSTITUTE(SUBSTITUTE(SUBSTITUTE(SUBSTITUTE($E21,"{COURSE}",Start!$C$6),"{DAY}",Start!$C$7),"{DATE}",IF(ISNUMBER(Start!$C$8),TEXT(Start!$C$8,"yyyy-mm-dd"),Start!$C$8)),"{FILE}",$C$5),"{KIND}",$C$6),"{CONCEPTS}",$C$7)</f>
        <v>   ---</v>
      </c>
      <c r="E21" s="1" t="s">
        <v>156</v>
      </c>
    </row>
    <row r="22" customFormat="false" ht="14.25" hidden="false" customHeight="true" outlineLevel="0" collapsed="false">
      <c r="C22" s="18" t="str">
        <f aca="false">SUBSTITUTE(SUBSTITUTE(SUBSTITUTE(SUBSTITUTE(SUBSTITUTE(SUBSTITUTE($E22,"{COURSE}",Start!$C$6),"{DAY}",Start!$C$7),"{DATE}",IF(ISNUMBER(Start!$C$8),TEXT(Start!$C$8,"yyyy-mm-dd"),Start!$C$8)),"{FILE}",$C$5),"{KIND}",$C$6),"{CONCEPTS}",$C$7)</f>
        <v>   type: reference</v>
      </c>
      <c r="E22" s="1" t="s">
        <v>157</v>
      </c>
    </row>
    <row r="23" customFormat="false" ht="14.25" hidden="false" customHeight="true" outlineLevel="0" collapsed="false">
      <c r="C23" s="18" t="str">
        <f aca="false">SUBSTITUTE(SUBSTITUTE(SUBSTITUTE(SUBSTITUTE(SUBSTITUTE(SUBSTITUTE($E23,"{COURSE}",Start!$C$6),"{DAY}",Start!$C$7),"{DATE}",IF(ISNUMBER(Start!$C$8),TEXT(Start!$C$8,"yyyy-mm-dd"),Start!$C$8)),"{FILE}",$C$5),"{KIND}",$C$6),"{CONCEPTS}",$C$7)</f>
        <v>   course: MBAM601</v>
      </c>
      <c r="E23" s="1" t="s">
        <v>158</v>
      </c>
    </row>
    <row r="24" customFormat="false" ht="14.25" hidden="false" customHeight="true" outlineLevel="0" collapsed="false">
      <c r="C24" s="18" t="str">
        <f aca="false">SUBSTITUTE(SUBSTITUTE(SUBSTITUTE(SUBSTITUTE(SUBSTITUTE(SUBSTITUTE($E24,"{COURSE}",Start!$C$6),"{DAY}",Start!$C$7),"{DATE}",IF(ISNUMBER(Start!$C$8),TEXT(Start!$C$8,"yyyy-mm-dd"),Start!$C$8)),"{FILE}",$C$5),"{KIND}",$C$6),"{CONCEPTS}",$C$7)</f>
        <v>   day: Day 9</v>
      </c>
      <c r="E24" s="1" t="s">
        <v>159</v>
      </c>
    </row>
    <row r="25" customFormat="false" ht="14.25" hidden="false" customHeight="true" outlineLevel="0" collapsed="false">
      <c r="C25" s="18" t="str">
        <f aca="false">SUBSTITUTE(SUBSTITUTE(SUBSTITUTE(SUBSTITUTE(SUBSTITUTE(SUBSTITUTE($E25,"{COURSE}",Start!$C$6),"{DAY}",Start!$C$7),"{DATE}",IF(ISNUMBER(Start!$C$8),TEXT(Start!$C$8,"yyyy-mm-dd"),Start!$C$8)),"{FILE}",$C$5),"{KIND}",$C$6),"{CONCEPTS}",$C$7)</f>
        <v>   kind: pptx</v>
      </c>
      <c r="E25" s="1" t="s">
        <v>160</v>
      </c>
    </row>
    <row r="26" customFormat="false" ht="14.25" hidden="false" customHeight="true" outlineLevel="0" collapsed="false">
      <c r="C26" s="18" t="str">
        <f aca="false">SUBSTITUTE(SUBSTITUTE(SUBSTITUTE(SUBSTITUTE(SUBSTITUTE(SUBSTITUTE($E26,"{COURSE}",Start!$C$6),"{DAY}",Start!$C$7),"{DATE}",IF(ISNUMBER(Start!$C$8),TEXT(Start!$C$8,"yyyy-mm-dd"),Start!$C$8)),"{FILE}",$C$5),"{KIND}",$C$6),"{CONCEPTS}",$C$7)</f>
        <v>   source: "2026-10-20 final Transformation Architecture - Redesigned v2"</v>
      </c>
      <c r="E26" s="1" t="s">
        <v>161</v>
      </c>
    </row>
    <row r="27" customFormat="false" ht="14.25" hidden="false" customHeight="true" outlineLevel="0" collapsed="false">
      <c r="C27" s="18" t="str">
        <f aca="false">SUBSTITUTE(SUBSTITUTE(SUBSTITUTE(SUBSTITUTE(SUBSTITUTE(SUBSTITUTE($E27,"{COURSE}",Start!$C$6),"{DAY}",Start!$C$7),"{DATE}",IF(ISNUMBER(Start!$C$8),TEXT(Start!$C$8,"yyyy-mm-dd"),Start!$C$8)),"{FILE}",$C$5),"{KIND}",$C$6),"{CONCEPTS}",$C$7)</f>
        <v>   created: 2026-10-20</v>
      </c>
      <c r="E27" s="1" t="s">
        <v>162</v>
      </c>
    </row>
    <row r="28" customFormat="false" ht="14.25" hidden="false" customHeight="true" outlineLevel="0" collapsed="false">
      <c r="C28" s="18" t="str">
        <f aca="false">SUBSTITUTE(SUBSTITUTE(SUBSTITUTE(SUBSTITUTE(SUBSTITUTE(SUBSTITUTE($E28,"{COURSE}",Start!$C$6),"{DAY}",Start!$C$7),"{DATE}",IF(ISNUMBER(Start!$C$8),TEXT(Start!$C$8,"yyyy-mm-dd"),Start!$C$8)),"{FILE}",$C$5),"{KIND}",$C$6),"{CONCEPTS}",$C$7)</f>
        <v>   tags: [reference]</v>
      </c>
      <c r="E28" s="1" t="s">
        <v>163</v>
      </c>
    </row>
    <row r="29" customFormat="false" ht="14.25" hidden="false" customHeight="true" outlineLevel="0" collapsed="false">
      <c r="C29" s="18" t="str">
        <f aca="false">SUBSTITUTE(SUBSTITUTE(SUBSTITUTE(SUBSTITUTE(SUBSTITUTE(SUBSTITUTE($E29,"{COURSE}",Start!$C$6),"{DAY}",Start!$C$7),"{DATE}",IF(ISNUMBER(Start!$C$8),TEXT(Start!$C$8,"yyyy-mm-dd"),Start!$C$8)),"{FILE}",$C$5),"{KIND}",$C$6),"{CONCEPTS}",$C$7)</f>
        <v>   ---</v>
      </c>
      <c r="E29" s="1" t="s">
        <v>156</v>
      </c>
    </row>
    <row r="30" customFormat="false" ht="14.25" hidden="false" customHeight="true" outlineLevel="0" collapsed="false">
      <c r="C30" s="18" t="str">
        <f aca="false">SUBSTITUTE(SUBSTITUTE(SUBSTITUTE(SUBSTITUTE(SUBSTITUTE(SUBSTITUTE($E30,"{COURSE}",Start!$C$6),"{DAY}",Start!$C$7),"{DATE}",IF(ISNUMBER(Start!$C$8),TEXT(Start!$C$8,"yyyy-mm-dd"),Start!$C$8)),"{FILE}",$C$5),"{KIND}",$C$6),"{CONCEPTS}",$C$7)</f>
        <v>   Sections: Overview (3 sentences), Key points (5 to 8, in the source's order), Frameworks and models (each linked to its core note), Questions I should be able to answer (3), Related (links to every core, case and quiz note below).</v>
      </c>
      <c r="E30" s="1" t="s">
        <v>164</v>
      </c>
    </row>
    <row r="31" customFormat="false" ht="14.25" hidden="false" customHeight="true" outlineLevel="0" collapsed="false">
      <c r="C31" s="18" t="str">
        <f aca="false">SUBSTITUTE(SUBSTITUTE(SUBSTITUTE(SUBSTITUTE(SUBSTITUTE(SUBSTITUTE($E31,"{COURSE}",Start!$C$6),"{DAY}",Start!$C$7),"{DATE}",IF(ISNUMBER(Start!$C$8),TEXT(Start!$C$8,"yyyy-mm-dd"),Start!$C$8)),"{FILE}",$C$5),"{KIND}",$C$6),"{CONCEPTS}",$C$7)</f>
        <v/>
      </c>
    </row>
    <row r="32" customFormat="false" ht="14.25" hidden="false" customHeight="true" outlineLevel="0" collapsed="false">
      <c r="C32" s="18" t="str">
        <f aca="false">SUBSTITUTE(SUBSTITUTE(SUBSTITUTE(SUBSTITUTE(SUBSTITUTE(SUBSTITUTE($E32,"{COURSE}",Start!$C$6),"{DAY}",Start!$C$7),"{DATE}",IF(ISNUMBER(Start!$C$8),TEXT(Start!$C$8,"yyyy-mm-dd"),Start!$C$8)),"{FILE}",$C$5),"{KIND}",$C$6),"{CONCEPTS}",$C$7)</f>
        <v>2. THREE TO SIX core notes, one per concept from my list, named after the concept in title case.</v>
      </c>
      <c r="E32" s="1" t="s">
        <v>165</v>
      </c>
    </row>
    <row r="33" customFormat="false" ht="14.25" hidden="false" customHeight="true" outlineLevel="0" collapsed="false">
      <c r="C33" s="18" t="str">
        <f aca="false">SUBSTITUTE(SUBSTITUTE(SUBSTITUTE(SUBSTITUTE(SUBSTITUTE(SUBSTITUTE($E33,"{COURSE}",Start!$C$6),"{DAY}",Start!$C$7),"{DATE}",IF(ISNUMBER(Start!$C$8),TEXT(Start!$C$8,"yyyy-mm-dd"),Start!$C$8)),"{FILE}",$C$5),"{KIND}",$C$6),"{CONCEPTS}",$C$7)</f>
        <v>   Frontmatter: type: core, course: MBAM601, first_seen: "2026-10-20 final Transformation Architecture - Redesigned v2", created: 2026-10-20, tags: [core]</v>
      </c>
      <c r="E33" s="1" t="s">
        <v>166</v>
      </c>
    </row>
    <row r="34" customFormat="false" ht="14.25" hidden="false" customHeight="true" outlineLevel="0" collapsed="false">
      <c r="C34" s="18" t="str">
        <f aca="false">SUBSTITUTE(SUBSTITUTE(SUBSTITUTE(SUBSTITUTE(SUBSTITUTE(SUBSTITUTE($E34,"{COURSE}",Start!$C$6),"{DAY}",Start!$C$7),"{DATE}",IF(ISNUMBER(Start!$C$8),TEXT(Start!$C$8,"yyyy-mm-dd"),Start!$C$8)),"{FILE}",$C$5),"{KIND}",$C$6),"{CONCEPTS}",$C$7)</f>
        <v>   Body: Definition, Why it matters, Example from the source, Related concepts, Cases that illustrate it, Source: [[&lt;reference note title&gt;]]. Under 200 words each.</v>
      </c>
      <c r="E34" s="1" t="s">
        <v>167</v>
      </c>
    </row>
    <row r="35" customFormat="false" ht="14.25" hidden="false" customHeight="true" outlineLevel="0" collapsed="false">
      <c r="C35" s="18" t="str">
        <f aca="false">SUBSTITUTE(SUBSTITUTE(SUBSTITUTE(SUBSTITUTE(SUBSTITUTE(SUBSTITUTE($E35,"{COURSE}",Start!$C$6),"{DAY}",Start!$C$7),"{DATE}",IF(ISNUMBER(Start!$C$8),TEXT(Start!$C$8,"yyyy-mm-dd"),Start!$C$8)),"{FILE}",$C$5),"{KIND}",$C$6),"{CONCEPTS}",$C$7)</f>
        <v/>
      </c>
    </row>
    <row r="36" customFormat="false" ht="14.25" hidden="false" customHeight="true" outlineLevel="0" collapsed="false">
      <c r="C36" s="18" t="str">
        <f aca="false">SUBSTITUTE(SUBSTITUTE(SUBSTITUTE(SUBSTITUTE(SUBSTITUTE(SUBSTITUTE($E36,"{COURSE}",Start!$C$6),"{DAY}",Start!$C$7),"{DATE}",IF(ISNUMBER(Start!$C$8),TEXT(Start!$C$8,"yyyy-mm-dd"),Start!$C$8)),"{FILE}",$C$5),"{KIND}",$C$6),"{CONCEPTS}",$C$7)</f>
        <v>3. ONE case note per real organisation discussed as a case, ONLY if the source has one. Name: "Case - &lt;Organisation&gt;".</v>
      </c>
      <c r="E36" s="1" t="s">
        <v>168</v>
      </c>
    </row>
    <row r="37" customFormat="false" ht="14.25" hidden="false" customHeight="true" outlineLevel="0" collapsed="false">
      <c r="C37" s="18" t="str">
        <f aca="false">SUBSTITUTE(SUBSTITUTE(SUBSTITUTE(SUBSTITUTE(SUBSTITUTE(SUBSTITUTE($E37,"{COURSE}",Start!$C$6),"{DAY}",Start!$C$7),"{DATE}",IF(ISNUMBER(Start!$C$8),TEXT(Start!$C$8,"yyyy-mm-dd"),Start!$C$8)),"{FILE}",$C$5),"{KIND}",$C$6),"{CONCEPTS}",$C$7)</f>
        <v>   Frontmatter: type: case, course: MBAM601, day: Day 9, organisation, source: "2026-10-20 final Transformation Architecture - Redesigned v2", created: 2026-10-20, tags: [case]</v>
      </c>
      <c r="E37" s="1" t="s">
        <v>169</v>
      </c>
    </row>
    <row r="38" customFormat="false" ht="14.25" hidden="false" customHeight="true" outlineLevel="0" collapsed="false">
      <c r="C38" s="18" t="str">
        <f aca="false">SUBSTITUTE(SUBSTITUTE(SUBSTITUTE(SUBSTITUTE(SUBSTITUTE(SUBSTITUTE($E38,"{COURSE}",Start!$C$6),"{DAY}",Start!$C$7),"{DATE}",IF(ISNUMBER(Start!$C$8),TEXT(Start!$C$8,"yyyy-mm-dd"),Start!$C$8)),"{FILE}",$C$5),"{KIND}",$C$6),"{CONCEPTS}",$C$7)</f>
        <v>   Body: Context, Problem, What they did, Outcome, Concepts illustrated, Source.</v>
      </c>
      <c r="E38" s="1" t="s">
        <v>170</v>
      </c>
    </row>
    <row r="39" customFormat="false" ht="14.25" hidden="false" customHeight="true" outlineLevel="0" collapsed="false">
      <c r="C39" s="18" t="str">
        <f aca="false">SUBSTITUTE(SUBSTITUTE(SUBSTITUTE(SUBSTITUTE(SUBSTITUTE(SUBSTITUTE($E39,"{COURSE}",Start!$C$6),"{DAY}",Start!$C$7),"{DATE}",IF(ISNUMBER(Start!$C$8),TEXT(Start!$C$8,"yyyy-mm-dd"),Start!$C$8)),"{FILE}",$C$5),"{KIND}",$C$6),"{CONCEPTS}",$C$7)</f>
        <v/>
      </c>
    </row>
    <row r="40" customFormat="false" ht="14.25" hidden="false" customHeight="true" outlineLevel="0" collapsed="false">
      <c r="C40" s="18" t="str">
        <f aca="false">SUBSTITUTE(SUBSTITUTE(SUBSTITUTE(SUBSTITUTE(SUBSTITUTE(SUBSTITUTE($E40,"{COURSE}",Start!$C$6),"{DAY}",Start!$C$7),"{DATE}",IF(ISNUMBER(Start!$C$8),TEXT(Start!$C$8,"yyyy-mm-dd"),Start!$C$8)),"{FILE}",$C$5),"{KIND}",$C$6),"{CONCEPTS}",$C$7)</f>
        <v>4. ONE quiz note, named "Quiz - MBAM601 Day 9 - &lt;source title&gt;".</v>
      </c>
      <c r="E40" s="1" t="s">
        <v>171</v>
      </c>
    </row>
    <row r="41" customFormat="false" ht="14.25" hidden="false" customHeight="true" outlineLevel="0" collapsed="false">
      <c r="C41" s="18" t="str">
        <f aca="false">SUBSTITUTE(SUBSTITUTE(SUBSTITUTE(SUBSTITUTE(SUBSTITUTE(SUBSTITUTE($E41,"{COURSE}",Start!$C$6),"{DAY}",Start!$C$7),"{DATE}",IF(ISNUMBER(Start!$C$8),TEXT(Start!$C$8,"yyyy-mm-dd"),Start!$C$8)),"{FILE}",$C$5),"{KIND}",$C$6),"{CONCEPTS}",$C$7)</f>
        <v>   5 multiple-choice questions testing understanding, not wording. 4 options each, one correct. Give the answer and a 1-2 sentence explanation for each, and link the core note it comes from.</v>
      </c>
      <c r="E41" s="1" t="s">
        <v>172</v>
      </c>
    </row>
    <row r="42" customFormat="false" ht="14.25" hidden="false" customHeight="true" outlineLevel="0" collapsed="false">
      <c r="C42" s="18" t="str">
        <f aca="false">SUBSTITUTE(SUBSTITUTE(SUBSTITUTE(SUBSTITUTE(SUBSTITUTE(SUBSTITUTE($E42,"{COURSE}",Start!$C$6),"{DAY}",Start!$C$7),"{DATE}",IF(ISNUMBER(Start!$C$8),TEXT(Start!$C$8,"yyyy-mm-dd"),Start!$C$8)),"{FILE}",$C$5),"{KIND}",$C$6),"{CONCEPTS}",$C$7)</f>
        <v/>
      </c>
    </row>
    <row r="43" customFormat="false" ht="14.25" hidden="false" customHeight="true" outlineLevel="0" collapsed="false">
      <c r="C43" s="18" t="str">
        <f aca="false">SUBSTITUTE(SUBSTITUTE(SUBSTITUTE(SUBSTITUTE(SUBSTITUTE(SUBSTITUTE($E43,"{COURSE}",Start!$C$6),"{DAY}",Start!$C$7),"{DATE}",IF(ISNUMBER(Start!$C$8),TEXT(Start!$C$8,"yyyy-mm-dd"),Start!$C$8)),"{FILE}",$C$5),"{KIND}",$C$6),"{CONCEPTS}",$C$7)</f>
        <v>Rules:</v>
      </c>
      <c r="E43" s="1" t="s">
        <v>173</v>
      </c>
    </row>
    <row r="44" customFormat="false" ht="14.25" hidden="false" customHeight="true" outlineLevel="0" collapsed="false">
      <c r="C44" s="18" t="str">
        <f aca="false">SUBSTITUTE(SUBSTITUTE(SUBSTITUTE(SUBSTITUTE(SUBSTITUTE(SUBSTITUTE($E44,"{COURSE}",Start!$C$6),"{DAY}",Start!$C$7),"{DATE}",IF(ISNUMBER(Start!$C$8),TEXT(Start!$C$8,"yyyy-mm-dd"),Start!$C$8)),"{FILE}",$C$5),"{KIND}",$C$6),"{CONCEPTS}",$C$7)</f>
        <v>- Link notes to each other with [[Exact Title]].</v>
      </c>
      <c r="E44" s="1" t="s">
        <v>174</v>
      </c>
    </row>
    <row r="45" customFormat="false" ht="14.25" hidden="false" customHeight="true" outlineLevel="0" collapsed="false">
      <c r="C45" s="18" t="str">
        <f aca="false">SUBSTITUTE(SUBSTITUTE(SUBSTITUTE(SUBSTITUTE(SUBSTITUTE(SUBSTITUTE($E45,"{COURSE}",Start!$C$6),"{DAY}",Start!$C$7),"{DATE}",IF(ISNUMBER(Start!$C$8),TEXT(Start!$C$8,"yyyy-mm-dd"),Start!$C$8)),"{FILE}",$C$5),"{KIND}",$C$6),"{CONCEPTS}",$C$7)</f>
        <v>- Use only the source. No outside facts. If something is unclear, write "Unclear in source".</v>
      </c>
      <c r="E45" s="1" t="s">
        <v>175</v>
      </c>
    </row>
    <row r="46" customFormat="false" ht="14.25" hidden="false" customHeight="true" outlineLevel="0" collapsed="false">
      <c r="C46" s="18" t="str">
        <f aca="false">SUBSTITUTE(SUBSTITUTE(SUBSTITUTE(SUBSTITUTE(SUBSTITUTE(SUBSTITUTE($E46,"{COURSE}",Start!$C$6),"{DAY}",Start!$C$7),"{DATE}",IF(ISNUMBER(Start!$C$8),TEXT(Start!$C$8,"yyyy-mm-dd"),Start!$C$8)),"{FILE}",$C$5),"{KIND}",$C$6),"{CONCEPTS}",$C$7)</f>
        <v>- Keep the source's own names for models and frameworks.</v>
      </c>
      <c r="E46" s="1" t="s">
        <v>176</v>
      </c>
    </row>
    <row r="47" customFormat="false" ht="14.25" hidden="false" customHeight="true" outlineLevel="0" collapsed="false">
      <c r="C47" s="19"/>
    </row>
    <row r="48" customFormat="false" ht="14.25" hidden="false" customHeight="true" outlineLevel="0" collapsed="false">
      <c r="C48" s="19"/>
    </row>
    <row r="49" customFormat="false" ht="14.25" hidden="false" customHeight="true" outlineLevel="0" collapsed="false">
      <c r="C49" s="19"/>
    </row>
    <row r="50" customFormat="false" ht="14.25" hidden="false" customHeight="true" outlineLevel="0" collapsed="false">
      <c r="C5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O22" activeCellId="0" sqref="O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66.36"/>
    <col collapsed="false" customWidth="true" hidden="false" outlineLevel="0" max="5" min="4" style="1" width="9"/>
    <col collapsed="false" customWidth="true" hidden="false" outlineLevel="0" max="7" min="6" style="1" width="11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4.54"/>
    <col collapsed="false" customWidth="true" hidden="false" outlineLevel="0" max="11" min="11" style="1" width="18.18"/>
    <col collapsed="false" customWidth="true" hidden="false" outlineLevel="0" max="12" min="12" style="1" width="19.63"/>
    <col collapsed="false" customWidth="true" hidden="false" outlineLevel="0" max="13" min="13" style="1" width="11"/>
    <col collapsed="false" customWidth="true" hidden="false" outlineLevel="0" max="14" min="14" style="1" width="22.54"/>
    <col collapsed="false" customWidth="true" hidden="false" outlineLevel="0" max="15" min="15" style="1" width="18.45"/>
    <col collapsed="false" customWidth="true" hidden="false" outlineLevel="0" max="16" min="16" style="1" width="11"/>
    <col collapsed="false" customWidth="true" hidden="false" outlineLevel="0" max="17" min="17" style="1" width="9"/>
    <col collapsed="false" customWidth="true" hidden="false" outlineLevel="0" max="18" min="18" style="1" width="18.09"/>
    <col collapsed="false" customWidth="true" hidden="false" outlineLevel="0" max="19" min="19" style="1" width="10"/>
    <col collapsed="false" customWidth="true" hidden="false" outlineLevel="0" max="20" min="20" style="1" width="36"/>
  </cols>
  <sheetData>
    <row r="1" customFormat="false" ht="42" hidden="false" customHeight="true" outlineLevel="0" collapsed="false">
      <c r="A1" s="8" t="s">
        <v>177</v>
      </c>
      <c r="B1" s="8" t="s">
        <v>178</v>
      </c>
      <c r="C1" s="8" t="s">
        <v>142</v>
      </c>
      <c r="D1" s="8" t="s">
        <v>144</v>
      </c>
      <c r="E1" s="8" t="s">
        <v>179</v>
      </c>
      <c r="F1" s="8" t="s">
        <v>180</v>
      </c>
      <c r="G1" s="8" t="s">
        <v>181</v>
      </c>
      <c r="H1" s="8" t="s">
        <v>182</v>
      </c>
      <c r="I1" s="8" t="s">
        <v>183</v>
      </c>
      <c r="J1" s="8" t="s">
        <v>184</v>
      </c>
      <c r="K1" s="8" t="s">
        <v>185</v>
      </c>
      <c r="L1" s="8" t="s">
        <v>186</v>
      </c>
      <c r="M1" s="8" t="s">
        <v>187</v>
      </c>
      <c r="N1" s="8" t="s">
        <v>188</v>
      </c>
      <c r="O1" s="8" t="s">
        <v>189</v>
      </c>
      <c r="P1" s="8" t="s">
        <v>190</v>
      </c>
      <c r="Q1" s="8" t="s">
        <v>191</v>
      </c>
      <c r="R1" s="8" t="s">
        <v>192</v>
      </c>
      <c r="S1" s="8" t="s">
        <v>193</v>
      </c>
      <c r="T1" s="8" t="s">
        <v>194</v>
      </c>
    </row>
    <row r="2" customFormat="false" ht="23.25" hidden="false" customHeight="true" outlineLevel="0" collapsed="false">
      <c r="A2" s="10" t="n">
        <v>1</v>
      </c>
      <c r="B2" s="10" t="s">
        <v>195</v>
      </c>
      <c r="C2" s="17" t="s">
        <v>196</v>
      </c>
      <c r="D2" s="20" t="s">
        <v>197</v>
      </c>
      <c r="E2" s="20" t="n">
        <v>10920</v>
      </c>
      <c r="F2" s="20" t="n">
        <v>12.14</v>
      </c>
      <c r="G2" s="21"/>
      <c r="H2" s="22" t="n">
        <f aca="false">IF(F2="","",F2+N(G2))</f>
        <v>12.14</v>
      </c>
      <c r="I2" s="23" t="n">
        <f aca="false">IF(OR(H2="",N(E2)=0),"",H2/(E2/1000))</f>
        <v>1.11172161172161</v>
      </c>
      <c r="J2" s="20" t="n">
        <v>9</v>
      </c>
      <c r="K2" s="20" t="n">
        <v>0</v>
      </c>
      <c r="L2" s="24" t="n">
        <f aca="false">IF(OR(N(J2)=0,K2=""),"",K2/J2)</f>
        <v>0</v>
      </c>
      <c r="M2" s="20" t="n">
        <v>0</v>
      </c>
      <c r="N2" s="25" t="n">
        <f aca="false">IF(N(J2)=0,"",M2/J2)</f>
        <v>0</v>
      </c>
      <c r="O2" s="20" t="s">
        <v>43</v>
      </c>
      <c r="P2" s="20" t="s">
        <v>43</v>
      </c>
      <c r="Q2" s="20" t="s">
        <v>43</v>
      </c>
      <c r="R2" s="20" t="s">
        <v>198</v>
      </c>
      <c r="S2" s="20" t="s">
        <v>43</v>
      </c>
      <c r="T2" s="17" t="s">
        <v>199</v>
      </c>
    </row>
    <row r="3" customFormat="false" ht="24.75" hidden="false" customHeight="true" outlineLevel="0" collapsed="false">
      <c r="A3" s="10" t="n">
        <v>2</v>
      </c>
      <c r="B3" s="10" t="s">
        <v>195</v>
      </c>
      <c r="C3" s="17" t="s">
        <v>200</v>
      </c>
      <c r="D3" s="20" t="s">
        <v>201</v>
      </c>
      <c r="E3" s="20" t="n">
        <v>887</v>
      </c>
      <c r="F3" s="20" t="n">
        <v>8.18</v>
      </c>
      <c r="G3" s="21"/>
      <c r="H3" s="22" t="n">
        <f aca="false">IF(F3="","",F3+N(G3))</f>
        <v>8.18</v>
      </c>
      <c r="I3" s="23" t="n">
        <f aca="false">IF(OR(H3="",N(E3)=0),"",H3/(E3/1000))</f>
        <v>9.22209695603157</v>
      </c>
      <c r="J3" s="20" t="n">
        <v>3</v>
      </c>
      <c r="K3" s="20" t="n">
        <v>3</v>
      </c>
      <c r="L3" s="24" t="n">
        <f aca="false">IF(OR(N(J3)=0,K3=""),"",K3/J3)</f>
        <v>1</v>
      </c>
      <c r="M3" s="20" t="n">
        <v>18</v>
      </c>
      <c r="N3" s="25" t="n">
        <f aca="false">IF(N(J3)=0,"",M3/J3)</f>
        <v>6</v>
      </c>
      <c r="O3" s="20" t="s">
        <v>43</v>
      </c>
      <c r="P3" s="20" t="s">
        <v>43</v>
      </c>
      <c r="Q3" s="20" t="s">
        <v>43</v>
      </c>
      <c r="R3" s="20" t="s">
        <v>43</v>
      </c>
      <c r="S3" s="20" t="s">
        <v>43</v>
      </c>
      <c r="T3" s="17" t="s">
        <v>202</v>
      </c>
    </row>
    <row r="4" customFormat="false" ht="37.5" hidden="false" customHeight="true" outlineLevel="0" collapsed="false">
      <c r="A4" s="10" t="n">
        <v>3</v>
      </c>
      <c r="B4" s="10" t="s">
        <v>195</v>
      </c>
      <c r="C4" s="17" t="s">
        <v>203</v>
      </c>
      <c r="D4" s="20" t="s">
        <v>204</v>
      </c>
      <c r="E4" s="20" t="n">
        <v>2330</v>
      </c>
      <c r="F4" s="20" t="n">
        <v>11.13</v>
      </c>
      <c r="G4" s="21"/>
      <c r="H4" s="22" t="n">
        <f aca="false">IF(F4="","",F4+N(G4))</f>
        <v>11.13</v>
      </c>
      <c r="I4" s="23" t="n">
        <f aca="false">IF(OR(H4="",N(E4)=0),"",H4/(E4/1000))</f>
        <v>4.77682403433476</v>
      </c>
      <c r="J4" s="20" t="n">
        <v>8</v>
      </c>
      <c r="K4" s="20" t="n">
        <v>8</v>
      </c>
      <c r="L4" s="24" t="n">
        <f aca="false">IF(OR(N(J4)=0,K4=""),"",K4/J4)</f>
        <v>1</v>
      </c>
      <c r="M4" s="20" t="n">
        <v>21</v>
      </c>
      <c r="N4" s="25" t="n">
        <f aca="false">IF(N(J4)=0,"",M4/J4)</f>
        <v>2.625</v>
      </c>
      <c r="O4" s="20" t="s">
        <v>43</v>
      </c>
      <c r="P4" s="20" t="s">
        <v>43</v>
      </c>
      <c r="Q4" s="20" t="s">
        <v>43</v>
      </c>
      <c r="R4" s="20" t="s">
        <v>43</v>
      </c>
      <c r="S4" s="20" t="s">
        <v>43</v>
      </c>
      <c r="T4" s="17" t="s">
        <v>205</v>
      </c>
    </row>
    <row r="5" customFormat="false" ht="24.75" hidden="false" customHeight="true" outlineLevel="0" collapsed="false">
      <c r="A5" s="10" t="n">
        <v>4</v>
      </c>
      <c r="B5" s="10" t="s">
        <v>195</v>
      </c>
      <c r="C5" s="17" t="s">
        <v>206</v>
      </c>
      <c r="D5" s="20" t="s">
        <v>197</v>
      </c>
      <c r="E5" s="20" t="n">
        <v>350</v>
      </c>
      <c r="F5" s="20" t="n">
        <v>5.55</v>
      </c>
      <c r="G5" s="21"/>
      <c r="H5" s="22" t="n">
        <f aca="false">IF(F5="","",F5+N(G5))</f>
        <v>5.55</v>
      </c>
      <c r="I5" s="23" t="n">
        <f aca="false">IF(OR(H5="",N(E5)=0),"",H5/(E5/1000))</f>
        <v>15.8571428571429</v>
      </c>
      <c r="J5" s="20" t="n">
        <v>3</v>
      </c>
      <c r="K5" s="20" t="n">
        <v>3</v>
      </c>
      <c r="L5" s="24" t="n">
        <f aca="false">IF(OR(N(J5)=0,K5=""),"",K5/J5)</f>
        <v>1</v>
      </c>
      <c r="M5" s="20" t="n">
        <v>10</v>
      </c>
      <c r="N5" s="25" t="n">
        <f aca="false">IF(N(J5)=0,"",M5/J5)</f>
        <v>3.33333333333333</v>
      </c>
      <c r="O5" s="20" t="s">
        <v>43</v>
      </c>
      <c r="P5" s="20" t="s">
        <v>43</v>
      </c>
      <c r="Q5" s="20" t="s">
        <v>43</v>
      </c>
      <c r="R5" s="20" t="s">
        <v>43</v>
      </c>
      <c r="S5" s="20" t="s">
        <v>43</v>
      </c>
      <c r="T5" s="17" t="s">
        <v>207</v>
      </c>
    </row>
    <row r="6" customFormat="false" ht="24.75" hidden="false" customHeight="true" outlineLevel="0" collapsed="false">
      <c r="A6" s="26" t="n">
        <v>5</v>
      </c>
      <c r="B6" s="26" t="s">
        <v>195</v>
      </c>
      <c r="C6" s="27" t="s">
        <v>208</v>
      </c>
      <c r="D6" s="28" t="s">
        <v>204</v>
      </c>
      <c r="E6" s="28" t="n">
        <v>725</v>
      </c>
      <c r="F6" s="28" t="n">
        <v>7.45</v>
      </c>
      <c r="G6" s="29"/>
      <c r="H6" s="30" t="n">
        <f aca="false">IF(F6="","",F6+N(G6))</f>
        <v>7.45</v>
      </c>
      <c r="I6" s="31" t="n">
        <f aca="false">IF(OR(H6="",N(E6)=0),"",H6/(E6/1000))</f>
        <v>10.2758620689655</v>
      </c>
      <c r="J6" s="28" t="n">
        <v>7</v>
      </c>
      <c r="K6" s="28" t="n">
        <v>7</v>
      </c>
      <c r="L6" s="32" t="n">
        <f aca="false">IF(OR(N(J6)=0,K6=""),"",K6/J6)</f>
        <v>1</v>
      </c>
      <c r="M6" s="28" t="n">
        <v>18</v>
      </c>
      <c r="N6" s="33" t="n">
        <f aca="false">IF(N(J6)=0,"",M6/J6)</f>
        <v>2.57142857142857</v>
      </c>
      <c r="O6" s="28" t="s">
        <v>43</v>
      </c>
      <c r="P6" s="28" t="s">
        <v>43</v>
      </c>
      <c r="Q6" s="28" t="s">
        <v>43</v>
      </c>
      <c r="R6" s="28" t="s">
        <v>43</v>
      </c>
      <c r="S6" s="28" t="s">
        <v>43</v>
      </c>
      <c r="T6" s="27" t="s">
        <v>209</v>
      </c>
    </row>
    <row r="7" customFormat="false" ht="14.25" hidden="false" customHeight="true" outlineLevel="0" collapsed="false">
      <c r="A7" s="10" t="n">
        <v>1</v>
      </c>
      <c r="B7" s="10" t="s">
        <v>210</v>
      </c>
      <c r="C7" s="12" t="str">
        <f aca="false">IF(C2="","",C2)</f>
        <v>Stakeholder Theory (R. Edward Freeman, Jeffery S. Harrison etc.).pdf</v>
      </c>
      <c r="D7" s="10" t="str">
        <f aca="false">IF(D2="","",D2)</f>
        <v>reading</v>
      </c>
      <c r="E7" s="10" t="n">
        <f aca="false">IF(E2="","",E2)</f>
        <v>10920</v>
      </c>
      <c r="F7" s="34" t="n">
        <f aca="false">J7*0.25</f>
        <v>1.75</v>
      </c>
      <c r="G7" s="34" t="n">
        <f aca="false">49.7/60</f>
        <v>0.828333333333333</v>
      </c>
      <c r="H7" s="22" t="n">
        <f aca="false">IF(F7="","",F7+N(G7))</f>
        <v>2.57833333333333</v>
      </c>
      <c r="I7" s="23" t="n">
        <f aca="false">IF(OR(H7="",N(E7)=0),"",H7/(E7/1000))</f>
        <v>0.236111111111111</v>
      </c>
      <c r="J7" s="20" t="n">
        <v>7</v>
      </c>
      <c r="K7" s="10" t="n">
        <f aca="false">J7</f>
        <v>7</v>
      </c>
      <c r="L7" s="24" t="n">
        <f aca="false">IF(OR(N(J7)=0,K7=""),"",K7/J7)</f>
        <v>1</v>
      </c>
      <c r="M7" s="20" t="n">
        <v>24</v>
      </c>
      <c r="N7" s="25" t="n">
        <f aca="false">IF(N(J7)=0,"",M7/J7)</f>
        <v>3.42857142857143</v>
      </c>
      <c r="O7" s="20" t="s">
        <v>43</v>
      </c>
      <c r="P7" s="20" t="s">
        <v>43</v>
      </c>
      <c r="Q7" s="20" t="s">
        <v>43</v>
      </c>
      <c r="R7" s="20" t="s">
        <v>43</v>
      </c>
      <c r="S7" s="20" t="s">
        <v>43</v>
      </c>
      <c r="T7" s="17"/>
    </row>
    <row r="8" customFormat="false" ht="14.25" hidden="false" customHeight="true" outlineLevel="0" collapsed="false">
      <c r="A8" s="10" t="n">
        <v>2</v>
      </c>
      <c r="B8" s="10" t="s">
        <v>210</v>
      </c>
      <c r="C8" s="12" t="str">
        <f aca="false">IF(C3="","",C3)</f>
        <v>Kowhai Case.pdf</v>
      </c>
      <c r="D8" s="10" t="str">
        <f aca="false">IF(D3="","",D3)</f>
        <v>case</v>
      </c>
      <c r="E8" s="10" t="n">
        <f aca="false">IF(E3="","",E3)</f>
        <v>887</v>
      </c>
      <c r="F8" s="34" t="n">
        <f aca="false">J8*0.25</f>
        <v>1.75</v>
      </c>
      <c r="G8" s="34" t="n">
        <f aca="false">42.6/60</f>
        <v>0.71</v>
      </c>
      <c r="H8" s="22" t="n">
        <f aca="false">IF(F8="","",F8+N(G8))</f>
        <v>2.46</v>
      </c>
      <c r="I8" s="23" t="n">
        <f aca="false">IF(OR(H8="",N(E8)=0),"",H8/(E8/1000))</f>
        <v>2.77339346110485</v>
      </c>
      <c r="J8" s="20" t="n">
        <v>7</v>
      </c>
      <c r="K8" s="10" t="n">
        <f aca="false">J8</f>
        <v>7</v>
      </c>
      <c r="L8" s="24" t="n">
        <f aca="false">IF(OR(N(J8)=0,K8=""),"",K8/J8)</f>
        <v>1</v>
      </c>
      <c r="M8" s="20" t="n">
        <v>32</v>
      </c>
      <c r="N8" s="25" t="n">
        <f aca="false">IF(N(J8)=0,"",M8/J8)</f>
        <v>4.57142857142857</v>
      </c>
      <c r="O8" s="20" t="s">
        <v>43</v>
      </c>
      <c r="P8" s="20" t="s">
        <v>43</v>
      </c>
      <c r="Q8" s="20" t="s">
        <v>43</v>
      </c>
      <c r="R8" s="20" t="s">
        <v>43</v>
      </c>
      <c r="S8" s="20" t="s">
        <v>43</v>
      </c>
      <c r="T8" s="17" t="s">
        <v>211</v>
      </c>
    </row>
    <row r="9" customFormat="false" ht="14.25" hidden="false" customHeight="true" outlineLevel="0" collapsed="false">
      <c r="A9" s="10" t="n">
        <v>3</v>
      </c>
      <c r="B9" s="10" t="s">
        <v>210</v>
      </c>
      <c r="C9" s="12" t="str">
        <f aca="false">IF(C4="","",C4)</f>
        <v>Class Slides_People and Transformation.pdf</v>
      </c>
      <c r="D9" s="10" t="str">
        <f aca="false">IF(D4="","",D4)</f>
        <v>slides</v>
      </c>
      <c r="E9" s="10" t="n">
        <f aca="false">IF(E4="","",E4)</f>
        <v>2330</v>
      </c>
      <c r="F9" s="34" t="n">
        <f aca="false">J9*0.25</f>
        <v>1.75</v>
      </c>
      <c r="G9" s="34" t="n">
        <f aca="false">52.8/60</f>
        <v>0.88</v>
      </c>
      <c r="H9" s="22" t="n">
        <f aca="false">IF(F9="","",F9+N(G9))</f>
        <v>2.63</v>
      </c>
      <c r="I9" s="23" t="n">
        <f aca="false">IF(OR(H9="",N(E9)=0),"",H9/(E9/1000))</f>
        <v>1.12875536480687</v>
      </c>
      <c r="J9" s="20" t="n">
        <v>7</v>
      </c>
      <c r="K9" s="10" t="n">
        <f aca="false">J9</f>
        <v>7</v>
      </c>
      <c r="L9" s="24" t="n">
        <f aca="false">IF(OR(N(J9)=0,K9=""),"",K9/J9)</f>
        <v>1</v>
      </c>
      <c r="M9" s="20" t="n">
        <v>28</v>
      </c>
      <c r="N9" s="25" t="n">
        <f aca="false">IF(N(J9)=0,"",M9/J9)</f>
        <v>4</v>
      </c>
      <c r="O9" s="20" t="s">
        <v>43</v>
      </c>
      <c r="P9" s="20" t="s">
        <v>43</v>
      </c>
      <c r="Q9" s="20" t="s">
        <v>43</v>
      </c>
      <c r="R9" s="20" t="s">
        <v>43</v>
      </c>
      <c r="S9" s="20" t="s">
        <v>43</v>
      </c>
      <c r="T9" s="17"/>
    </row>
    <row r="10" customFormat="false" ht="14.25" hidden="false" customHeight="true" outlineLevel="0" collapsed="false">
      <c r="A10" s="10" t="n">
        <v>4</v>
      </c>
      <c r="B10" s="10" t="s">
        <v>210</v>
      </c>
      <c r="C10" s="12" t="str">
        <f aca="false">IF(C5="","",C5)</f>
        <v>Change_Management_Stages.docx</v>
      </c>
      <c r="D10" s="10" t="str">
        <f aca="false">IF(D5="","",D5)</f>
        <v>reading</v>
      </c>
      <c r="E10" s="10" t="n">
        <f aca="false">IF(E5="","",E5)</f>
        <v>350</v>
      </c>
      <c r="F10" s="34" t="n">
        <f aca="false">J10*0.25</f>
        <v>1.75</v>
      </c>
      <c r="G10" s="34" t="n">
        <f aca="false">33.8/60</f>
        <v>0.563333333333333</v>
      </c>
      <c r="H10" s="22" t="n">
        <f aca="false">IF(F10="","",F10+N(G10))</f>
        <v>2.31333333333333</v>
      </c>
      <c r="I10" s="23" t="n">
        <f aca="false">IF(OR(H10="",N(E10)=0),"",H10/(E10/1000))</f>
        <v>6.60952380952381</v>
      </c>
      <c r="J10" s="20" t="n">
        <v>7</v>
      </c>
      <c r="K10" s="10" t="n">
        <f aca="false">J10</f>
        <v>7</v>
      </c>
      <c r="L10" s="24" t="n">
        <f aca="false">IF(OR(N(J10)=0,K10=""),"",K10/J10)</f>
        <v>1</v>
      </c>
      <c r="M10" s="20" t="n">
        <v>16</v>
      </c>
      <c r="N10" s="25" t="n">
        <f aca="false">IF(N(J10)=0,"",M10/J10)</f>
        <v>2.28571428571429</v>
      </c>
      <c r="O10" s="20" t="s">
        <v>43</v>
      </c>
      <c r="P10" s="20" t="s">
        <v>43</v>
      </c>
      <c r="Q10" s="20" t="s">
        <v>43</v>
      </c>
      <c r="R10" s="20" t="s">
        <v>43</v>
      </c>
      <c r="S10" s="20" t="s">
        <v>43</v>
      </c>
      <c r="T10" s="17"/>
    </row>
    <row r="11" customFormat="false" ht="14.25" hidden="false" customHeight="true" outlineLevel="0" collapsed="false">
      <c r="A11" s="10" t="n">
        <v>5</v>
      </c>
      <c r="B11" s="10" t="s">
        <v>210</v>
      </c>
      <c r="C11" s="12" t="str">
        <f aca="false">IF(C6="","",C6)</f>
        <v>2026-10-20 final Transformation Architecture - Redesigned v2.pptx</v>
      </c>
      <c r="D11" s="10" t="str">
        <f aca="false">IF(D6="","",D6)</f>
        <v>slides</v>
      </c>
      <c r="E11" s="10" t="n">
        <f aca="false">IF(E6="","",E6)</f>
        <v>725</v>
      </c>
      <c r="F11" s="34" t="n">
        <f aca="false">J11*0.25</f>
        <v>1.5</v>
      </c>
      <c r="G11" s="34" t="n">
        <f aca="false">37.4/60</f>
        <v>0.623333333333333</v>
      </c>
      <c r="H11" s="22" t="n">
        <f aca="false">IF(F11="","",F11+N(G11))</f>
        <v>2.12333333333333</v>
      </c>
      <c r="I11" s="23" t="n">
        <f aca="false">IF(OR(H11="",N(E11)=0),"",H11/(E11/1000))</f>
        <v>2.92873563218391</v>
      </c>
      <c r="J11" s="20" t="n">
        <v>6</v>
      </c>
      <c r="K11" s="10" t="n">
        <f aca="false">J11</f>
        <v>6</v>
      </c>
      <c r="L11" s="24" t="n">
        <f aca="false">IF(OR(N(J11)=0,K11=""),"",K11/J11)</f>
        <v>1</v>
      </c>
      <c r="M11" s="20" t="n">
        <v>23</v>
      </c>
      <c r="N11" s="25" t="n">
        <f aca="false">IF(N(J11)=0,"",M11/J11)</f>
        <v>3.83333333333333</v>
      </c>
      <c r="O11" s="20" t="s">
        <v>43</v>
      </c>
      <c r="P11" s="20" t="s">
        <v>43</v>
      </c>
      <c r="Q11" s="20" t="s">
        <v>43</v>
      </c>
      <c r="R11" s="20" t="s">
        <v>43</v>
      </c>
      <c r="S11" s="20" t="s">
        <v>43</v>
      </c>
      <c r="T11" s="17"/>
    </row>
    <row r="13" customFormat="false" ht="14.25" hidden="false" customHeight="true" outlineLevel="0" collapsed="false">
      <c r="A13" s="35" t="s">
        <v>212</v>
      </c>
    </row>
    <row r="14" customFormat="false" ht="14.25" hidden="false" customHeight="true" outlineLevel="0" collapsed="false">
      <c r="A14" s="36" t="n">
        <v>1</v>
      </c>
      <c r="B14" s="36" t="s">
        <v>195</v>
      </c>
      <c r="C14" s="37" t="s">
        <v>213</v>
      </c>
      <c r="D14" s="36" t="s">
        <v>204</v>
      </c>
      <c r="E14" s="36" t="n">
        <v>4200</v>
      </c>
      <c r="F14" s="36" t="n">
        <v>38</v>
      </c>
      <c r="G14" s="36"/>
      <c r="H14" s="36" t="n">
        <f aca="false">F14</f>
        <v>38</v>
      </c>
      <c r="I14" s="38" t="n">
        <f aca="false">H14/(E14/1000)</f>
        <v>9.04761904761905</v>
      </c>
      <c r="J14" s="36" t="n">
        <v>7</v>
      </c>
      <c r="K14" s="36" t="n">
        <v>6</v>
      </c>
      <c r="L14" s="39" t="n">
        <f aca="false">K14/J14</f>
        <v>0.857142857142857</v>
      </c>
      <c r="M14" s="36" t="n">
        <v>9</v>
      </c>
      <c r="N14" s="40" t="n">
        <f aca="false">M14/J14</f>
        <v>1.28571428571429</v>
      </c>
      <c r="O14" s="36" t="s">
        <v>43</v>
      </c>
      <c r="P14" s="36" t="s">
        <v>198</v>
      </c>
      <c r="Q14" s="36" t="s">
        <v>43</v>
      </c>
      <c r="R14" s="36" t="s">
        <v>43</v>
      </c>
      <c r="S14" s="36" t="s">
        <v>43</v>
      </c>
      <c r="T14" s="37" t="s">
        <v>214</v>
      </c>
    </row>
    <row r="16" customFormat="false" ht="14.25" hidden="false" customHeight="true" outlineLevel="0" collapsed="false">
      <c r="A16" s="5" t="s">
        <v>215</v>
      </c>
    </row>
    <row r="17" customFormat="false" ht="14.25" hidden="false" customHeight="true" outlineLevel="0" collapsed="false">
      <c r="A17" s="3" t="s">
        <v>216</v>
      </c>
    </row>
    <row r="18" customFormat="false" ht="14.25" hidden="false" customHeight="true" outlineLevel="0" collapsed="false">
      <c r="A18" s="3" t="s">
        <v>217</v>
      </c>
    </row>
    <row r="19" customFormat="false" ht="14.25" hidden="false" customHeight="true" outlineLevel="0" collapsed="false">
      <c r="A19" s="3" t="s">
        <v>218</v>
      </c>
    </row>
    <row r="20" customFormat="false" ht="14.25" hidden="false" customHeight="true" outlineLevel="0" collapsed="false">
      <c r="A20" s="3" t="s">
        <v>219</v>
      </c>
    </row>
    <row r="21" customFormat="false" ht="14.25" hidden="false" customHeight="true" outlineLevel="0" collapsed="false">
      <c r="A21" s="3" t="s">
        <v>220</v>
      </c>
    </row>
  </sheetData>
  <dataValidations count="2">
    <dataValidation allowBlank="true" errorStyle="stop" operator="between" showDropDown="false" showErrorMessage="false" showInputMessage="false" sqref="O2:S11" type="list">
      <formula1>"✓,✗"</formula1>
      <formula2>0</formula2>
    </dataValidation>
    <dataValidation allowBlank="true" errorStyle="stop" operator="between" showDropDown="false" showErrorMessage="false" showInputMessage="false" sqref="D2:D6" type="list">
      <formula1>"slides,reading,case"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5" min="4" style="1" width="34"/>
    <col collapsed="false" customWidth="true" hidden="false" outlineLevel="0" max="6" min="6" style="1" width="3"/>
  </cols>
  <sheetData>
    <row r="2" customFormat="false" ht="17.25" hidden="false" customHeight="true" outlineLevel="0" collapsed="false">
      <c r="B2" s="16" t="s">
        <v>221</v>
      </c>
    </row>
    <row r="3" customFormat="false" ht="15" hidden="false" customHeight="true" outlineLevel="0" collapsed="false">
      <c r="B3" s="3" t="s">
        <v>222</v>
      </c>
    </row>
    <row r="5" customFormat="false" ht="15" hidden="false" customHeight="true" outlineLevel="0" collapsed="false">
      <c r="B5" s="8" t="s">
        <v>223</v>
      </c>
      <c r="C5" s="8" t="s">
        <v>224</v>
      </c>
      <c r="D5" s="8" t="s">
        <v>225</v>
      </c>
      <c r="E5" s="8" t="s">
        <v>226</v>
      </c>
    </row>
    <row r="6" customFormat="false" ht="23.25" hidden="false" customHeight="true" outlineLevel="0" collapsed="false">
      <c r="B6" s="11" t="s">
        <v>227</v>
      </c>
      <c r="C6" s="12" t="s">
        <v>228</v>
      </c>
      <c r="D6" s="12" t="s">
        <v>229</v>
      </c>
      <c r="E6" s="12" t="s">
        <v>230</v>
      </c>
    </row>
    <row r="7" customFormat="false" ht="34.5" hidden="false" customHeight="true" outlineLevel="0" collapsed="false">
      <c r="B7" s="11" t="s">
        <v>231</v>
      </c>
      <c r="C7" s="12" t="s">
        <v>232</v>
      </c>
      <c r="D7" s="41" t="s">
        <v>233</v>
      </c>
      <c r="E7" s="12" t="s">
        <v>234</v>
      </c>
    </row>
    <row r="8" customFormat="false" ht="15" hidden="false" customHeight="true" outlineLevel="0" collapsed="false">
      <c r="B8" s="11" t="s">
        <v>235</v>
      </c>
      <c r="C8" s="12" t="s">
        <v>236</v>
      </c>
      <c r="D8" s="12" t="s">
        <v>237</v>
      </c>
      <c r="E8" s="12" t="s">
        <v>237</v>
      </c>
    </row>
    <row r="9" customFormat="false" ht="15" hidden="false" customHeight="true" outlineLevel="0" collapsed="false">
      <c r="B9" s="11" t="s">
        <v>238</v>
      </c>
      <c r="C9" s="12" t="s">
        <v>239</v>
      </c>
      <c r="D9" s="12" t="s">
        <v>229</v>
      </c>
      <c r="E9" s="12" t="s">
        <v>230</v>
      </c>
    </row>
    <row r="10" customFormat="false" ht="15" hidden="false" customHeight="true" outlineLevel="0" collapsed="false">
      <c r="B10" s="11" t="s">
        <v>240</v>
      </c>
      <c r="C10" s="12" t="s">
        <v>241</v>
      </c>
      <c r="D10" s="12" t="s">
        <v>237</v>
      </c>
      <c r="E10" s="12" t="s">
        <v>237</v>
      </c>
    </row>
    <row r="12" customFormat="false" ht="15" hidden="false" customHeight="true" outlineLevel="0" collapsed="false">
      <c r="B12" s="42" t="s">
        <v>242</v>
      </c>
    </row>
    <row r="13" customFormat="false" ht="18" hidden="false" customHeight="true" outlineLevel="0" collapsed="false">
      <c r="B13" s="43" t="s">
        <v>243</v>
      </c>
      <c r="C13" s="43"/>
      <c r="D13" s="43"/>
      <c r="E13" s="43"/>
    </row>
    <row r="14" customFormat="false" ht="18" hidden="false" customHeight="true" outlineLevel="0" collapsed="false">
      <c r="B14" s="43" t="s">
        <v>244</v>
      </c>
      <c r="C14" s="43"/>
      <c r="D14" s="43"/>
      <c r="E14" s="43"/>
    </row>
    <row r="15" customFormat="false" ht="18" hidden="false" customHeight="true" outlineLevel="0" collapsed="false">
      <c r="B15" s="43" t="s">
        <v>245</v>
      </c>
      <c r="C15" s="43"/>
      <c r="D15" s="43"/>
      <c r="E15" s="43"/>
    </row>
    <row r="16" customFormat="false" ht="18" hidden="false" customHeight="true" outlineLevel="0" collapsed="false">
      <c r="B16" s="43" t="s">
        <v>246</v>
      </c>
      <c r="C16" s="43"/>
      <c r="D16" s="43"/>
      <c r="E16" s="43"/>
    </row>
    <row r="17" customFormat="false" ht="30" hidden="false" customHeight="true" outlineLevel="0" collapsed="false">
      <c r="B17" s="43" t="s">
        <v>247</v>
      </c>
      <c r="C17" s="43"/>
      <c r="D17" s="43"/>
      <c r="E17" s="43"/>
    </row>
  </sheetData>
  <mergeCells count="5"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36"/>
  </cols>
  <sheetData>
    <row r="1" customFormat="false" ht="30" hidden="false" customHeight="true" outlineLevel="0" collapsed="false">
      <c r="A1" s="8" t="s">
        <v>177</v>
      </c>
      <c r="B1" s="8" t="s">
        <v>248</v>
      </c>
      <c r="C1" s="8" t="s">
        <v>144</v>
      </c>
      <c r="D1" s="8" t="s">
        <v>189</v>
      </c>
      <c r="E1" s="8" t="s">
        <v>190</v>
      </c>
      <c r="F1" s="8" t="s">
        <v>191</v>
      </c>
      <c r="G1" s="8" t="s">
        <v>192</v>
      </c>
      <c r="H1" s="8" t="s">
        <v>193</v>
      </c>
      <c r="I1" s="8" t="s">
        <v>249</v>
      </c>
      <c r="J1" s="8" t="s">
        <v>250</v>
      </c>
    </row>
    <row r="2" customFormat="false" ht="15" hidden="false" customHeight="true" outlineLevel="0" collapsed="false">
      <c r="A2" s="10" t="n">
        <v>1</v>
      </c>
      <c r="B2" s="12" t="s">
        <v>251</v>
      </c>
      <c r="C2" s="10" t="s">
        <v>252</v>
      </c>
      <c r="D2" s="44"/>
      <c r="E2" s="44"/>
      <c r="F2" s="44"/>
      <c r="G2" s="44"/>
      <c r="H2" s="44"/>
      <c r="I2" s="45" t="str">
        <f aca="false">IF(COUNTA(D2:H2)&lt;5,"",IF(COUNTIF(D2:H2,"✓")=5,"Pass","Fail"))</f>
        <v/>
      </c>
      <c r="J2" s="17"/>
    </row>
    <row r="3" customFormat="false" ht="15" hidden="false" customHeight="true" outlineLevel="0" collapsed="false">
      <c r="A3" s="10" t="n">
        <v>1</v>
      </c>
      <c r="B3" s="12" t="s">
        <v>253</v>
      </c>
      <c r="C3" s="10" t="s">
        <v>254</v>
      </c>
      <c r="D3" s="44"/>
      <c r="E3" s="44"/>
      <c r="F3" s="44"/>
      <c r="G3" s="44"/>
      <c r="H3" s="44"/>
      <c r="I3" s="45" t="str">
        <f aca="false">IF(COUNTA(D3:H3)&lt;5,"",IF(COUNTIF(D3:H3,"✓")=5,"Pass","Fail"))</f>
        <v/>
      </c>
      <c r="J3" s="17"/>
    </row>
    <row r="4" customFormat="false" ht="15" hidden="false" customHeight="true" outlineLevel="0" collapsed="false">
      <c r="A4" s="10" t="n">
        <v>2</v>
      </c>
      <c r="B4" s="12" t="s">
        <v>255</v>
      </c>
      <c r="C4" s="10" t="s">
        <v>252</v>
      </c>
      <c r="D4" s="44"/>
      <c r="E4" s="44"/>
      <c r="F4" s="44"/>
      <c r="G4" s="44"/>
      <c r="H4" s="44"/>
      <c r="I4" s="45" t="str">
        <f aca="false">IF(COUNTA(D4:H4)&lt;5,"",IF(COUNTIF(D4:H4,"✓")=5,"Pass","Fail"))</f>
        <v/>
      </c>
      <c r="J4" s="17"/>
    </row>
    <row r="5" customFormat="false" ht="15" hidden="false" customHeight="true" outlineLevel="0" collapsed="false">
      <c r="A5" s="10" t="n">
        <v>2</v>
      </c>
      <c r="B5" s="12" t="s">
        <v>256</v>
      </c>
      <c r="C5" s="10" t="s">
        <v>254</v>
      </c>
      <c r="D5" s="44"/>
      <c r="E5" s="44"/>
      <c r="F5" s="44"/>
      <c r="G5" s="44"/>
      <c r="H5" s="44"/>
      <c r="I5" s="45" t="str">
        <f aca="false">IF(COUNTA(D5:H5)&lt;5,"",IF(COUNTIF(D5:H5,"✓")=5,"Pass","Fail"))</f>
        <v/>
      </c>
      <c r="J5" s="17"/>
    </row>
    <row r="6" customFormat="false" ht="15" hidden="false" customHeight="true" outlineLevel="0" collapsed="false">
      <c r="A6" s="10" t="n">
        <v>3</v>
      </c>
      <c r="B6" s="12" t="s">
        <v>257</v>
      </c>
      <c r="C6" s="10" t="s">
        <v>252</v>
      </c>
      <c r="D6" s="44"/>
      <c r="E6" s="44"/>
      <c r="F6" s="44"/>
      <c r="G6" s="44"/>
      <c r="H6" s="44"/>
      <c r="I6" s="45" t="str">
        <f aca="false">IF(COUNTA(D6:H6)&lt;5,"",IF(COUNTIF(D6:H6,"✓")=5,"Pass","Fail"))</f>
        <v/>
      </c>
      <c r="J6" s="17"/>
    </row>
    <row r="7" customFormat="false" ht="15" hidden="false" customHeight="true" outlineLevel="0" collapsed="false">
      <c r="A7" s="10" t="n">
        <v>3</v>
      </c>
      <c r="B7" s="12" t="s">
        <v>258</v>
      </c>
      <c r="C7" s="10" t="s">
        <v>254</v>
      </c>
      <c r="D7" s="44"/>
      <c r="E7" s="44"/>
      <c r="F7" s="44"/>
      <c r="G7" s="44"/>
      <c r="H7" s="44"/>
      <c r="I7" s="45" t="str">
        <f aca="false">IF(COUNTA(D7:H7)&lt;5,"",IF(COUNTIF(D7:H7,"✓")=5,"Pass","Fail"))</f>
        <v/>
      </c>
      <c r="J7" s="17"/>
    </row>
    <row r="8" customFormat="false" ht="15" hidden="false" customHeight="true" outlineLevel="0" collapsed="false">
      <c r="A8" s="10" t="n">
        <v>4</v>
      </c>
      <c r="B8" s="12" t="s">
        <v>259</v>
      </c>
      <c r="C8" s="10" t="s">
        <v>252</v>
      </c>
      <c r="D8" s="44"/>
      <c r="E8" s="44"/>
      <c r="F8" s="44"/>
      <c r="G8" s="44"/>
      <c r="H8" s="44"/>
      <c r="I8" s="45" t="str">
        <f aca="false">IF(COUNTA(D8:H8)&lt;5,"",IF(COUNTIF(D8:H8,"✓")=5,"Pass","Fail"))</f>
        <v/>
      </c>
      <c r="J8" s="17"/>
    </row>
    <row r="9" customFormat="false" ht="15" hidden="false" customHeight="true" outlineLevel="0" collapsed="false">
      <c r="A9" s="10" t="n">
        <v>4</v>
      </c>
      <c r="B9" s="12" t="s">
        <v>260</v>
      </c>
      <c r="C9" s="10" t="s">
        <v>254</v>
      </c>
      <c r="D9" s="44"/>
      <c r="E9" s="44"/>
      <c r="F9" s="44"/>
      <c r="G9" s="44"/>
      <c r="H9" s="44"/>
      <c r="I9" s="45" t="str">
        <f aca="false">IF(COUNTA(D9:H9)&lt;5,"",IF(COUNTIF(D9:H9,"✓")=5,"Pass","Fail"))</f>
        <v/>
      </c>
      <c r="J9" s="17"/>
    </row>
    <row r="10" customFormat="false" ht="23.25" hidden="false" customHeight="true" outlineLevel="0" collapsed="false">
      <c r="A10" s="10" t="n">
        <v>5</v>
      </c>
      <c r="B10" s="12" t="s">
        <v>261</v>
      </c>
      <c r="C10" s="10" t="s">
        <v>252</v>
      </c>
      <c r="D10" s="44"/>
      <c r="E10" s="44"/>
      <c r="F10" s="44"/>
      <c r="G10" s="44"/>
      <c r="H10" s="44"/>
      <c r="I10" s="45" t="str">
        <f aca="false">IF(COUNTA(D10:H10)&lt;5,"",IF(COUNTIF(D10:H10,"✓")=5,"Pass","Fail"))</f>
        <v/>
      </c>
      <c r="J10" s="17"/>
    </row>
    <row r="11" customFormat="false" ht="15" hidden="false" customHeight="true" outlineLevel="0" collapsed="false">
      <c r="A11" s="10" t="n">
        <v>5</v>
      </c>
      <c r="B11" s="12" t="s">
        <v>143</v>
      </c>
      <c r="C11" s="10" t="s">
        <v>254</v>
      </c>
      <c r="D11" s="44"/>
      <c r="E11" s="44"/>
      <c r="F11" s="44"/>
      <c r="G11" s="44"/>
      <c r="H11" s="44"/>
      <c r="I11" s="45" t="str">
        <f aca="false">IF(COUNTA(D11:H11)&lt;5,"",IF(COUNTIF(D11:H11,"✓")=5,"Pass","Fail"))</f>
        <v/>
      </c>
      <c r="J11" s="17"/>
    </row>
    <row r="12" customFormat="false" ht="23.25" hidden="false" customHeight="true" outlineLevel="0" collapsed="false">
      <c r="A12" s="20"/>
      <c r="B12" s="12" t="s">
        <v>262</v>
      </c>
      <c r="C12" s="10" t="s">
        <v>263</v>
      </c>
      <c r="D12" s="44"/>
      <c r="E12" s="44"/>
      <c r="F12" s="44"/>
      <c r="G12" s="44"/>
      <c r="H12" s="44"/>
      <c r="I12" s="45" t="str">
        <f aca="false">IF(COUNTA(D12:H12)&lt;5,"",IF(COUNTIF(D12:H12,"✓")=5,"Pass","Fail"))</f>
        <v/>
      </c>
      <c r="J12" s="17"/>
    </row>
    <row r="13" customFormat="false" ht="15" hidden="false" customHeight="true" outlineLevel="0" collapsed="false">
      <c r="A13" s="20"/>
      <c r="B13" s="12" t="s">
        <v>264</v>
      </c>
      <c r="C13" s="10" t="s">
        <v>263</v>
      </c>
      <c r="D13" s="44"/>
      <c r="E13" s="44"/>
      <c r="F13" s="44"/>
      <c r="G13" s="44"/>
      <c r="H13" s="44"/>
      <c r="I13" s="45" t="str">
        <f aca="false">IF(COUNTA(D13:H13)&lt;5,"",IF(COUNTIF(D13:H13,"✓")=5,"Pass","Fail"))</f>
        <v/>
      </c>
      <c r="J13" s="17"/>
    </row>
    <row r="14" customFormat="false" ht="15" hidden="false" customHeight="true" outlineLevel="0" collapsed="false">
      <c r="A14" s="20"/>
      <c r="B14" s="12" t="s">
        <v>265</v>
      </c>
      <c r="C14" s="10" t="s">
        <v>263</v>
      </c>
      <c r="D14" s="44"/>
      <c r="E14" s="44"/>
      <c r="F14" s="44"/>
      <c r="G14" s="44"/>
      <c r="H14" s="44"/>
      <c r="I14" s="45" t="str">
        <f aca="false">IF(COUNTA(D14:H14)&lt;5,"",IF(COUNTIF(D14:H14,"✓")=5,"Pass","Fail"))</f>
        <v/>
      </c>
      <c r="J14" s="17"/>
    </row>
    <row r="15" customFormat="false" ht="15" hidden="false" customHeight="true" outlineLevel="0" collapsed="false">
      <c r="A15" s="20"/>
      <c r="B15" s="12" t="s">
        <v>266</v>
      </c>
      <c r="C15" s="10" t="s">
        <v>263</v>
      </c>
      <c r="D15" s="44"/>
      <c r="E15" s="44"/>
      <c r="F15" s="44"/>
      <c r="G15" s="44"/>
      <c r="H15" s="44"/>
      <c r="I15" s="45" t="str">
        <f aca="false">IF(COUNTA(D15:H15)&lt;5,"",IF(COUNTIF(D15:H15,"✓")=5,"Pass","Fail"))</f>
        <v/>
      </c>
      <c r="J15" s="17"/>
    </row>
    <row r="16" customFormat="false" ht="15" hidden="false" customHeight="true" outlineLevel="0" collapsed="false">
      <c r="A16" s="20"/>
      <c r="B16" s="12" t="s">
        <v>267</v>
      </c>
      <c r="C16" s="10" t="s">
        <v>263</v>
      </c>
      <c r="D16" s="44"/>
      <c r="E16" s="44"/>
      <c r="F16" s="44"/>
      <c r="G16" s="44"/>
      <c r="H16" s="44"/>
      <c r="I16" s="45" t="str">
        <f aca="false">IF(COUNTA(D16:H16)&lt;5,"",IF(COUNTIF(D16:H16,"✓")=5,"Pass","Fail"))</f>
        <v/>
      </c>
      <c r="J16" s="17"/>
    </row>
    <row r="17" customFormat="false" ht="15" hidden="false" customHeight="true" outlineLevel="0" collapsed="false">
      <c r="A17" s="20"/>
      <c r="B17" s="12" t="s">
        <v>268</v>
      </c>
      <c r="C17" s="10" t="s">
        <v>263</v>
      </c>
      <c r="D17" s="44"/>
      <c r="E17" s="44"/>
      <c r="F17" s="44"/>
      <c r="G17" s="44"/>
      <c r="H17" s="44"/>
      <c r="I17" s="45" t="str">
        <f aca="false">IF(COUNTA(D17:H17)&lt;5,"",IF(COUNTIF(D17:H17,"✓")=5,"Pass","Fail"))</f>
        <v/>
      </c>
      <c r="J17" s="17"/>
    </row>
    <row r="18" customFormat="false" ht="15" hidden="false" customHeight="true" outlineLevel="0" collapsed="false">
      <c r="A18" s="20"/>
      <c r="B18" s="12" t="s">
        <v>269</v>
      </c>
      <c r="C18" s="10" t="s">
        <v>263</v>
      </c>
      <c r="D18" s="44"/>
      <c r="E18" s="44"/>
      <c r="F18" s="44"/>
      <c r="G18" s="44"/>
      <c r="H18" s="44"/>
      <c r="I18" s="45" t="str">
        <f aca="false">IF(COUNTA(D18:H18)&lt;5,"",IF(COUNTIF(D18:H18,"✓")=5,"Pass","Fail"))</f>
        <v/>
      </c>
      <c r="J18" s="17"/>
    </row>
    <row r="19" customFormat="false" ht="15" hidden="false" customHeight="true" outlineLevel="0" collapsed="false">
      <c r="A19" s="20"/>
      <c r="B19" s="12" t="s">
        <v>270</v>
      </c>
      <c r="C19" s="10" t="s">
        <v>263</v>
      </c>
      <c r="D19" s="44"/>
      <c r="E19" s="44"/>
      <c r="F19" s="44"/>
      <c r="G19" s="44"/>
      <c r="H19" s="44"/>
      <c r="I19" s="45" t="str">
        <f aca="false">IF(COUNTA(D19:H19)&lt;5,"",IF(COUNTIF(D19:H19,"✓")=5,"Pass","Fail"))</f>
        <v/>
      </c>
      <c r="J19" s="17"/>
    </row>
    <row r="20" customFormat="false" ht="15" hidden="false" customHeight="true" outlineLevel="0" collapsed="false">
      <c r="A20" s="20"/>
      <c r="B20" s="12" t="s">
        <v>271</v>
      </c>
      <c r="C20" s="10" t="s">
        <v>263</v>
      </c>
      <c r="D20" s="44"/>
      <c r="E20" s="44"/>
      <c r="F20" s="44"/>
      <c r="G20" s="44"/>
      <c r="H20" s="44"/>
      <c r="I20" s="45" t="str">
        <f aca="false">IF(COUNTA(D20:H20)&lt;5,"",IF(COUNTIF(D20:H20,"✓")=5,"Pass","Fail"))</f>
        <v/>
      </c>
      <c r="J20" s="17"/>
    </row>
    <row r="21" customFormat="false" ht="15" hidden="false" customHeight="true" outlineLevel="0" collapsed="false">
      <c r="A21" s="20"/>
      <c r="B21" s="12" t="s">
        <v>272</v>
      </c>
      <c r="C21" s="10" t="s">
        <v>263</v>
      </c>
      <c r="D21" s="44"/>
      <c r="E21" s="44"/>
      <c r="F21" s="44"/>
      <c r="G21" s="44"/>
      <c r="H21" s="44"/>
      <c r="I21" s="45" t="str">
        <f aca="false">IF(COUNTA(D21:H21)&lt;5,"",IF(COUNTIF(D21:H21,"✓")=5,"Pass","Fail"))</f>
        <v/>
      </c>
      <c r="J21" s="17"/>
    </row>
    <row r="22" customFormat="false" ht="15" hidden="false" customHeight="true" outlineLevel="0" collapsed="false">
      <c r="A22" s="20"/>
      <c r="B22" s="12" t="s">
        <v>273</v>
      </c>
      <c r="C22" s="10" t="s">
        <v>263</v>
      </c>
      <c r="D22" s="44"/>
      <c r="E22" s="44"/>
      <c r="F22" s="44"/>
      <c r="G22" s="44"/>
      <c r="H22" s="44"/>
      <c r="I22" s="45" t="str">
        <f aca="false">IF(COUNTA(D22:H22)&lt;5,"",IF(COUNTIF(D22:H22,"✓")=5,"Pass","Fail"))</f>
        <v/>
      </c>
      <c r="J22" s="17"/>
    </row>
    <row r="23" customFormat="false" ht="15" hidden="false" customHeight="true" outlineLevel="0" collapsed="false">
      <c r="A23" s="20"/>
      <c r="B23" s="12" t="s">
        <v>274</v>
      </c>
      <c r="C23" s="10" t="s">
        <v>263</v>
      </c>
      <c r="D23" s="44"/>
      <c r="E23" s="44"/>
      <c r="F23" s="44"/>
      <c r="G23" s="44"/>
      <c r="H23" s="44"/>
      <c r="I23" s="45" t="str">
        <f aca="false">IF(COUNTA(D23:H23)&lt;5,"",IF(COUNTIF(D23:H23,"✓")=5,"Pass","Fail"))</f>
        <v/>
      </c>
      <c r="J23" s="17"/>
    </row>
    <row r="24" customFormat="false" ht="15" hidden="false" customHeight="true" outlineLevel="0" collapsed="false">
      <c r="A24" s="20"/>
      <c r="B24" s="12" t="s">
        <v>275</v>
      </c>
      <c r="C24" s="10" t="s">
        <v>263</v>
      </c>
      <c r="D24" s="44"/>
      <c r="E24" s="44"/>
      <c r="F24" s="44"/>
      <c r="G24" s="44"/>
      <c r="H24" s="44"/>
      <c r="I24" s="45" t="str">
        <f aca="false">IF(COUNTA(D24:H24)&lt;5,"",IF(COUNTIF(D24:H24,"✓")=5,"Pass","Fail"))</f>
        <v/>
      </c>
      <c r="J24" s="17"/>
    </row>
    <row r="25" customFormat="false" ht="15" hidden="false" customHeight="true" outlineLevel="0" collapsed="false">
      <c r="A25" s="20"/>
      <c r="B25" s="12" t="s">
        <v>276</v>
      </c>
      <c r="C25" s="10" t="s">
        <v>263</v>
      </c>
      <c r="D25" s="44"/>
      <c r="E25" s="44"/>
      <c r="F25" s="44"/>
      <c r="G25" s="44"/>
      <c r="H25" s="44"/>
      <c r="I25" s="45" t="str">
        <f aca="false">IF(COUNTA(D25:H25)&lt;5,"",IF(COUNTIF(D25:H25,"✓")=5,"Pass","Fail"))</f>
        <v/>
      </c>
      <c r="J25" s="17"/>
    </row>
    <row r="26" customFormat="false" ht="15" hidden="false" customHeight="true" outlineLevel="0" collapsed="false">
      <c r="A26" s="20"/>
      <c r="B26" s="12" t="s">
        <v>277</v>
      </c>
      <c r="C26" s="10" t="s">
        <v>263</v>
      </c>
      <c r="D26" s="44"/>
      <c r="E26" s="44"/>
      <c r="F26" s="44"/>
      <c r="G26" s="44"/>
      <c r="H26" s="44"/>
      <c r="I26" s="45" t="str">
        <f aca="false">IF(COUNTA(D26:H26)&lt;5,"",IF(COUNTIF(D26:H26,"✓")=5,"Pass","Fail"))</f>
        <v/>
      </c>
      <c r="J26" s="17"/>
    </row>
    <row r="27" customFormat="false" ht="15" hidden="false" customHeight="true" outlineLevel="0" collapsed="false">
      <c r="A27" s="20"/>
      <c r="B27" s="12" t="s">
        <v>278</v>
      </c>
      <c r="C27" s="10" t="s">
        <v>263</v>
      </c>
      <c r="D27" s="44"/>
      <c r="E27" s="44"/>
      <c r="F27" s="44"/>
      <c r="G27" s="44"/>
      <c r="H27" s="44"/>
      <c r="I27" s="45" t="str">
        <f aca="false">IF(COUNTA(D27:H27)&lt;5,"",IF(COUNTIF(D27:H27,"✓")=5,"Pass","Fail"))</f>
        <v/>
      </c>
      <c r="J27" s="17"/>
    </row>
    <row r="28" customFormat="false" ht="15" hidden="false" customHeight="true" outlineLevel="0" collapsed="false">
      <c r="A28" s="20"/>
      <c r="B28" s="12" t="s">
        <v>279</v>
      </c>
      <c r="C28" s="10" t="s">
        <v>263</v>
      </c>
      <c r="D28" s="44"/>
      <c r="E28" s="44"/>
      <c r="F28" s="44"/>
      <c r="G28" s="44"/>
      <c r="H28" s="44"/>
      <c r="I28" s="45" t="str">
        <f aca="false">IF(COUNTA(D28:H28)&lt;5,"",IF(COUNTIF(D28:H28,"✓")=5,"Pass","Fail"))</f>
        <v/>
      </c>
      <c r="J28" s="17"/>
    </row>
    <row r="29" customFormat="false" ht="15" hidden="false" customHeight="true" outlineLevel="0" collapsed="false">
      <c r="A29" s="20"/>
      <c r="B29" s="12" t="s">
        <v>280</v>
      </c>
      <c r="C29" s="10" t="s">
        <v>263</v>
      </c>
      <c r="D29" s="44"/>
      <c r="E29" s="44"/>
      <c r="F29" s="44"/>
      <c r="G29" s="44"/>
      <c r="H29" s="44"/>
      <c r="I29" s="45" t="str">
        <f aca="false">IF(COUNTA(D29:H29)&lt;5,"",IF(COUNTIF(D29:H29,"✓")=5,"Pass","Fail"))</f>
        <v/>
      </c>
      <c r="J29" s="17"/>
    </row>
    <row r="30" customFormat="false" ht="15" hidden="false" customHeight="true" outlineLevel="0" collapsed="false">
      <c r="A30" s="20"/>
      <c r="B30" s="12" t="s">
        <v>281</v>
      </c>
      <c r="C30" s="10" t="s">
        <v>263</v>
      </c>
      <c r="D30" s="44"/>
      <c r="E30" s="44"/>
      <c r="F30" s="44"/>
      <c r="G30" s="44"/>
      <c r="H30" s="44"/>
      <c r="I30" s="45" t="str">
        <f aca="false">IF(COUNTA(D30:H30)&lt;5,"",IF(COUNTIF(D30:H30,"✓")=5,"Pass","Fail"))</f>
        <v/>
      </c>
      <c r="J30" s="17"/>
    </row>
    <row r="31" customFormat="false" ht="15" hidden="false" customHeight="true" outlineLevel="0" collapsed="false">
      <c r="A31" s="20"/>
      <c r="B31" s="12" t="s">
        <v>282</v>
      </c>
      <c r="C31" s="10" t="s">
        <v>263</v>
      </c>
      <c r="D31" s="44"/>
      <c r="E31" s="44"/>
      <c r="F31" s="44"/>
      <c r="G31" s="44"/>
      <c r="H31" s="44"/>
      <c r="I31" s="45" t="str">
        <f aca="false">IF(COUNTA(D31:H31)&lt;5,"",IF(COUNTIF(D31:H31,"✓")=5,"Pass","Fail"))</f>
        <v/>
      </c>
      <c r="J31" s="17"/>
    </row>
    <row r="32" customFormat="false" ht="15" hidden="false" customHeight="true" outlineLevel="0" collapsed="false">
      <c r="A32" s="20"/>
      <c r="B32" s="12" t="s">
        <v>283</v>
      </c>
      <c r="C32" s="10" t="s">
        <v>263</v>
      </c>
      <c r="D32" s="44"/>
      <c r="E32" s="44"/>
      <c r="F32" s="44"/>
      <c r="G32" s="44"/>
      <c r="H32" s="44"/>
      <c r="I32" s="45" t="str">
        <f aca="false">IF(COUNTA(D32:H32)&lt;5,"",IF(COUNTIF(D32:H32,"✓")=5,"Pass","Fail"))</f>
        <v/>
      </c>
      <c r="J32" s="17"/>
    </row>
    <row r="33" customFormat="false" ht="15" hidden="false" customHeight="true" outlineLevel="0" collapsed="false">
      <c r="A33" s="20"/>
      <c r="B33" s="12" t="s">
        <v>284</v>
      </c>
      <c r="C33" s="10" t="s">
        <v>263</v>
      </c>
      <c r="D33" s="44"/>
      <c r="E33" s="44"/>
      <c r="F33" s="44"/>
      <c r="G33" s="44"/>
      <c r="H33" s="44"/>
      <c r="I33" s="45" t="str">
        <f aca="false">IF(COUNTA(D33:H33)&lt;5,"",IF(COUNTIF(D33:H33,"✓")=5,"Pass","Fail"))</f>
        <v/>
      </c>
      <c r="J33" s="17"/>
    </row>
    <row r="34" customFormat="false" ht="15" hidden="false" customHeight="true" outlineLevel="0" collapsed="false">
      <c r="A34" s="20"/>
      <c r="B34" s="12" t="s">
        <v>285</v>
      </c>
      <c r="C34" s="10" t="s">
        <v>263</v>
      </c>
      <c r="D34" s="44"/>
      <c r="E34" s="44"/>
      <c r="F34" s="44"/>
      <c r="G34" s="44"/>
      <c r="H34" s="44"/>
      <c r="I34" s="45" t="str">
        <f aca="false">IF(COUNTA(D34:H34)&lt;5,"",IF(COUNTIF(D34:H34,"✓")=5,"Pass","Fail"))</f>
        <v/>
      </c>
      <c r="J34" s="17"/>
    </row>
    <row r="35" customFormat="false" ht="15" hidden="false" customHeight="true" outlineLevel="0" collapsed="false">
      <c r="A35" s="20"/>
      <c r="B35" s="12" t="s">
        <v>286</v>
      </c>
      <c r="C35" s="10" t="s">
        <v>263</v>
      </c>
      <c r="D35" s="44"/>
      <c r="E35" s="44"/>
      <c r="F35" s="44"/>
      <c r="G35" s="44"/>
      <c r="H35" s="44"/>
      <c r="I35" s="45" t="str">
        <f aca="false">IF(COUNTA(D35:H35)&lt;5,"",IF(COUNTIF(D35:H35,"✓")=5,"Pass","Fail"))</f>
        <v/>
      </c>
      <c r="J35" s="17"/>
    </row>
    <row r="37" customFormat="false" ht="15" hidden="false" customHeight="true" outlineLevel="0" collapsed="false">
      <c r="B37" s="46" t="s">
        <v>287</v>
      </c>
    </row>
    <row r="38" customFormat="false" ht="15" hidden="false" customHeight="true" outlineLevel="0" collapsed="false">
      <c r="B38" s="46" t="s">
        <v>288</v>
      </c>
    </row>
    <row r="40" customFormat="false" ht="15" hidden="false" customHeight="true" outlineLevel="0" collapsed="false">
      <c r="B40" s="4" t="s">
        <v>289</v>
      </c>
    </row>
    <row r="41" customFormat="false" ht="23.25" hidden="false" customHeight="true" outlineLevel="0" collapsed="false">
      <c r="B41" s="8" t="s">
        <v>290</v>
      </c>
      <c r="C41" s="8" t="s">
        <v>291</v>
      </c>
      <c r="D41" s="8" t="s">
        <v>292</v>
      </c>
      <c r="E41" s="8" t="s">
        <v>293</v>
      </c>
    </row>
    <row r="42" customFormat="false" ht="15" hidden="false" customHeight="true" outlineLevel="0" collapsed="false">
      <c r="B42" s="47" t="s">
        <v>294</v>
      </c>
      <c r="C42" s="10" t="n">
        <f aca="false">COUNTIF($A$2:$A$35,1)</f>
        <v>2</v>
      </c>
      <c r="D42" s="10" t="n">
        <f aca="false">COUNTIFS($A$2:$A$35,1,$I$2:$I$35,"?*")</f>
        <v>0</v>
      </c>
      <c r="E42" s="10" t="n">
        <f aca="false">COUNTIFS($A$2:$A$35,1,$I$2:$I$35,"Pass")</f>
        <v>0</v>
      </c>
    </row>
    <row r="43" customFormat="false" ht="15" hidden="false" customHeight="true" outlineLevel="0" collapsed="false">
      <c r="B43" s="47" t="s">
        <v>295</v>
      </c>
      <c r="C43" s="10" t="n">
        <f aca="false">COUNTIF($A$2:$A$35,2)</f>
        <v>2</v>
      </c>
      <c r="D43" s="10" t="n">
        <f aca="false">COUNTIFS($A$2:$A$35,2,$I$2:$I$35,"?*")</f>
        <v>0</v>
      </c>
      <c r="E43" s="10" t="n">
        <f aca="false">COUNTIFS($A$2:$A$35,2,$I$2:$I$35,"Pass")</f>
        <v>0</v>
      </c>
    </row>
    <row r="44" customFormat="false" ht="15" hidden="false" customHeight="true" outlineLevel="0" collapsed="false">
      <c r="B44" s="47" t="s">
        <v>296</v>
      </c>
      <c r="C44" s="10" t="n">
        <f aca="false">COUNTIF($A$2:$A$35,3)</f>
        <v>2</v>
      </c>
      <c r="D44" s="10" t="n">
        <f aca="false">COUNTIFS($A$2:$A$35,3,$I$2:$I$35,"?*")</f>
        <v>0</v>
      </c>
      <c r="E44" s="10" t="n">
        <f aca="false">COUNTIFS($A$2:$A$35,3,$I$2:$I$35,"Pass")</f>
        <v>0</v>
      </c>
    </row>
    <row r="45" customFormat="false" ht="15" hidden="false" customHeight="true" outlineLevel="0" collapsed="false">
      <c r="B45" s="47" t="s">
        <v>297</v>
      </c>
      <c r="C45" s="10" t="n">
        <f aca="false">COUNTIF($A$2:$A$35,4)</f>
        <v>2</v>
      </c>
      <c r="D45" s="10" t="n">
        <f aca="false">COUNTIFS($A$2:$A$35,4,$I$2:$I$35,"?*")</f>
        <v>0</v>
      </c>
      <c r="E45" s="10" t="n">
        <f aca="false">COUNTIFS($A$2:$A$35,4,$I$2:$I$35,"Pass")</f>
        <v>0</v>
      </c>
    </row>
    <row r="46" customFormat="false" ht="15" hidden="false" customHeight="true" outlineLevel="0" collapsed="false">
      <c r="B46" s="47" t="s">
        <v>298</v>
      </c>
      <c r="C46" s="10" t="n">
        <f aca="false">COUNTIF($A$2:$A$35,5)</f>
        <v>2</v>
      </c>
      <c r="D46" s="10" t="n">
        <f aca="false">COUNTIFS($A$2:$A$35,5,$I$2:$I$35,"?*")</f>
        <v>0</v>
      </c>
      <c r="E46" s="10" t="n">
        <f aca="false">COUNTIFS($A$2:$A$35,5,$I$2:$I$35,"Pass")</f>
        <v>0</v>
      </c>
    </row>
  </sheetData>
  <dataValidations count="2">
    <dataValidation allowBlank="true" errorStyle="stop" operator="between" showDropDown="false" showErrorMessage="false" showInputMessage="false" sqref="D2:H35" type="list">
      <formula1>"✓,✗"</formula1>
      <formula2>0</formula2>
    </dataValidation>
    <dataValidation allowBlank="true" errorStyle="stop" operator="between" showDropDown="false" showErrorMessage="false" showInputMessage="false" sqref="A12:A3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16"/>
  </cols>
  <sheetData>
    <row r="2" customFormat="false" ht="18" hidden="false" customHeight="true" outlineLevel="0" collapsed="false">
      <c r="B2" s="16" t="s">
        <v>299</v>
      </c>
    </row>
    <row r="4" customFormat="false" ht="14.25" hidden="false" customHeight="true" outlineLevel="0" collapsed="false">
      <c r="B4" s="8" t="s">
        <v>300</v>
      </c>
      <c r="C4" s="8" t="s">
        <v>195</v>
      </c>
      <c r="D4" s="8" t="s">
        <v>210</v>
      </c>
      <c r="E4" s="8" t="s">
        <v>301</v>
      </c>
      <c r="F4" s="8" t="s">
        <v>302</v>
      </c>
    </row>
    <row r="5" customFormat="false" ht="14.25" hidden="false" customHeight="true" outlineLevel="0" collapsed="false">
      <c r="B5" s="12" t="s">
        <v>303</v>
      </c>
      <c r="C5" s="23" t="n">
        <f aca="false">IFERROR(SUMIFS(Log!$H$2:$H$11,Log!$B$2:$B$11,"Manual")/SUMIFS(Log!$E$2:$E$11,Log!$B$2:$B$11,"Manual")*1000,"")</f>
        <v>2.92203523534052</v>
      </c>
      <c r="D5" s="23" t="n">
        <f aca="false">IFERROR(SUMIFS(Log!$H$2:$H$11,Log!$B$2:$B$11,"myTutor")/SUMIFS(Log!$E$2:$E$11,Log!$B$2:$B$11,"myTutor")*1000,"")</f>
        <v>0.795753352616356</v>
      </c>
      <c r="E5" s="48" t="n">
        <f aca="false">IF(OR(C5="",D5="",N(C5)=0),"",(D5-C5)/C5)</f>
        <v>-0.727671541057368</v>
      </c>
      <c r="F5" s="10" t="s">
        <v>304</v>
      </c>
    </row>
    <row r="6" customFormat="false" ht="14.25" hidden="false" customHeight="true" outlineLevel="0" collapsed="false">
      <c r="B6" s="12" t="s">
        <v>305</v>
      </c>
      <c r="C6" s="24" t="n">
        <f aca="false">IF(SUMPRODUCT((Log!$B$2:$B$11="Manual")*(Log!$K$2:$K$11&lt;&gt;""))=0,"",IFERROR(SUMIFS(Log!$K$2:$K$11,Log!$B$2:$B$11,"Manual")/SUMIFS(Log!$J$2:$J$11,Log!$B$2:$B$11,"Manual"),""))</f>
        <v>0.7</v>
      </c>
      <c r="D6" s="24" t="n">
        <f aca="false">IF(SUMPRODUCT((Log!$B$2:$B$11="myTutor")*(Log!$K$2:$K$11&lt;&gt;""))=0,"",IFERROR(SUMIFS(Log!$K$2:$K$11,Log!$B$2:$B$11,"myTutor")/SUMIFS(Log!$J$2:$J$11,Log!$B$2:$B$11,"myTutor"),""))</f>
        <v>1</v>
      </c>
      <c r="E6" s="48" t="n">
        <f aca="false">IF(OR(C6="",D6="",N(C6)=0),"",(D6-C6)/C6)</f>
        <v>0.428571428571429</v>
      </c>
      <c r="F6" s="10" t="s">
        <v>306</v>
      </c>
    </row>
    <row r="7" customFormat="false" ht="14.25" hidden="false" customHeight="true" outlineLevel="0" collapsed="false">
      <c r="B7" s="12" t="s">
        <v>307</v>
      </c>
      <c r="C7" s="25" t="n">
        <f aca="false">IFERROR(SUMIFS(Log!$M$2:$M$11,Log!$B$2:$B$11,"Manual")/SUMIFS(Log!$J$2:$J$11,Log!$B$2:$B$11,"Manual"),"")</f>
        <v>2.23333333333333</v>
      </c>
      <c r="D7" s="25" t="n">
        <f aca="false">IFERROR(SUMIFS(Log!$M$2:$M$11,Log!$B$2:$B$11,"myTutor")/SUMIFS(Log!$J$2:$J$11,Log!$B$2:$B$11,"myTutor"),"")</f>
        <v>3.61764705882353</v>
      </c>
      <c r="E7" s="48" t="n">
        <f aca="false">IF(OR(C7="",D7="",N(C7)=0),"",(D7-C7)/C7)</f>
        <v>0.619841966637401</v>
      </c>
      <c r="F7" s="10" t="s">
        <v>306</v>
      </c>
    </row>
    <row r="8" customFormat="false" ht="14.25" hidden="false" customHeight="true" outlineLevel="0" collapsed="false">
      <c r="B8" s="12" t="s">
        <v>308</v>
      </c>
      <c r="C8" s="22" t="n">
        <f aca="false">IF(COUNTIFS(Log!$B$2:$B$11,"Manual",Log!$F$2:$F$11,"&lt;&gt;")=0,"",SUMIFS(Log!$H$2:$H$11,Log!$B$2:$B$11,"Manual"))</f>
        <v>44.45</v>
      </c>
      <c r="D8" s="22" t="n">
        <f aca="false">IF(COUNTIFS(Log!$B$2:$B$11,"myTutor",Log!$F$2:$F$11,"&lt;&gt;")=0,"",SUMIFS(Log!$H$2:$H$11,Log!$B$2:$B$11,"myTutor"))</f>
        <v>12.105</v>
      </c>
      <c r="E8" s="48" t="n">
        <f aca="false">IF(OR(C8="",D8="",N(C8)=0),"",(D8-C8)/C8)</f>
        <v>-0.727671541057368</v>
      </c>
      <c r="F8" s="10" t="s">
        <v>304</v>
      </c>
    </row>
    <row r="10" customFormat="false" ht="14.25" hidden="false" customHeight="true" outlineLevel="0" collapsed="false">
      <c r="B10" s="46" t="s">
        <v>309</v>
      </c>
    </row>
    <row r="12" customFormat="false" ht="14.25" hidden="false" customHeight="true" outlineLevel="0" collapsed="false">
      <c r="B12" s="5" t="s">
        <v>310</v>
      </c>
    </row>
    <row r="13" customFormat="false" ht="14.25" hidden="false" customHeight="true" outlineLevel="0" collapsed="false">
      <c r="B13" s="3" t="s">
        <v>311</v>
      </c>
    </row>
    <row r="14" customFormat="false" ht="14.25" hidden="false" customHeight="true" outlineLevel="0" collapsed="false">
      <c r="B14" s="3" t="s">
        <v>312</v>
      </c>
    </row>
    <row r="15" customFormat="false" ht="14.25" hidden="false" customHeight="true" outlineLevel="0" collapsed="false">
      <c r="B15" s="3" t="s">
        <v>313</v>
      </c>
    </row>
    <row r="16" customFormat="false" ht="14.25" hidden="false" customHeight="true" outlineLevel="0" collapsed="false">
      <c r="B16" s="3" t="s">
        <v>314</v>
      </c>
    </row>
    <row r="17" customFormat="false" ht="14.25" hidden="false" customHeight="true" outlineLevel="0" collapsed="false">
      <c r="B17" s="49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2026-10-21T22:26:58Z</dcterms:created>
  <dc:creator>openpyxl</dc:creator>
  <dc:description/>
  <dc:language>en-US</dc:language>
  <cp:lastModifiedBy>Henry Z</cp:lastModifiedBy>
  <dcterms:modified xsi:type="dcterms:W3CDTF">2026-10-25T22:34:28Z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